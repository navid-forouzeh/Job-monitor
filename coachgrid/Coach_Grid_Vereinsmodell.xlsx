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uf einen Blick" sheetId="1" state="visible" r:id="rId1"/>
    <sheet name="2 Preise" sheetId="2" state="visible" r:id="rId2"/>
    <sheet name="3 Umsatz" sheetId="3" state="visible" r:id="rId3"/>
    <sheet name="4 Markt" sheetId="4" state="visible" r:id="rId4"/>
    <sheet name="5 Vorbereitung" sheetId="5" state="visible" r:id="rId5"/>
    <sheet name="6 Geldfluss" sheetId="6" state="visible" r:id="rId6"/>
    <sheet name="7 Fahrplan" sheetId="7" state="visible" r:id="rId7"/>
    <sheet name="8 Zahlen und Quellen" sheetId="8" state="visible" r:id="rId8"/>
  </sheets>
  <definedNames/>
  <calcPr calcId="124519" fullCalcOnLoad="1"/>
</workbook>
</file>

<file path=xl/styles.xml><?xml version="1.0" encoding="utf-8"?>
<styleSheet xmlns="http://schemas.openxmlformats.org/spreadsheetml/2006/main">
  <numFmts count="2">
    <numFmt numFmtId="164" formatCode="&quot;CHF&quot; #,##0"/>
    <numFmt numFmtId="165" formatCode="0 %"/>
  </numFmts>
  <fonts count="12">
    <font>
      <name val="Calibri"/>
      <family val="2"/>
      <color theme="1"/>
      <sz val="11"/>
      <scheme val="minor"/>
    </font>
    <font>
      <name val="Arial"/>
      <b val="1"/>
      <color rgb="0016302A"/>
      <sz val="18"/>
    </font>
    <font>
      <name val="Arial"/>
      <color rgb="005A6B65"/>
      <sz val="11"/>
    </font>
    <font>
      <name val="Arial"/>
      <b val="1"/>
      <color rgb="0016302A"/>
      <sz val="12"/>
    </font>
    <font>
      <name val="Arial"/>
      <sz val="11"/>
    </font>
    <font>
      <name val="Arial"/>
      <b val="1"/>
      <color rgb="00FFFFFF"/>
      <sz val="10"/>
    </font>
    <font>
      <name val="Arial"/>
      <b val="1"/>
      <sz val="11"/>
    </font>
    <font>
      <name val="Arial"/>
      <b val="1"/>
      <color rgb="00FFFFFF"/>
      <sz val="11"/>
    </font>
    <font>
      <name val="Arial"/>
      <color rgb="0010241E"/>
      <sz val="11"/>
    </font>
    <font>
      <name val="Arial"/>
      <b val="1"/>
      <color rgb="000000FF"/>
      <sz val="11"/>
    </font>
    <font>
      <name val="Arial"/>
      <color rgb="005A6B65"/>
      <sz val="10"/>
    </font>
    <font>
      <name val="Arial"/>
      <color rgb="000F6F5C"/>
      <sz val="10"/>
      <u val="single"/>
    </font>
  </fonts>
  <fills count="8">
    <fill>
      <patternFill/>
    </fill>
    <fill>
      <patternFill patternType="gray125"/>
    </fill>
    <fill>
      <patternFill patternType="solid">
        <fgColor rgb="0016302A"/>
      </patternFill>
    </fill>
    <fill>
      <patternFill patternType="solid">
        <fgColor rgb="00D6ECD9"/>
      </patternFill>
    </fill>
    <fill>
      <patternFill patternType="solid">
        <fgColor rgb="000F6F5C"/>
      </patternFill>
    </fill>
    <fill>
      <patternFill patternType="solid">
        <fgColor rgb="00E6F0EA"/>
      </patternFill>
    </fill>
    <fill>
      <patternFill patternType="solid">
        <fgColor rgb="00DCE6FA"/>
      </patternFill>
    </fill>
    <fill>
      <patternFill patternType="solid">
        <fgColor rgb="00FBE7C0"/>
      </patternFill>
    </fill>
  </fills>
  <borders count="6">
    <border>
      <left/>
      <right/>
      <top/>
      <bottom/>
      <diagonal/>
    </border>
    <border>
      <left style="thin">
        <color rgb="00C9D2CE"/>
      </left>
      <right style="thin">
        <color rgb="00C9D2CE"/>
      </right>
      <top style="thin">
        <color rgb="00C9D2CE"/>
      </top>
      <bottom style="thin">
        <color rgb="00C9D2CE"/>
      </bottom>
    </border>
    <border>
      <left/>
      <right/>
      <top style="thin">
        <color rgb="00C9D2CE"/>
      </top>
      <bottom/>
      <diagonal/>
    </border>
    <border>
      <left/>
      <right style="thin">
        <color rgb="00C9D2CE"/>
      </right>
      <top style="thin">
        <color rgb="00C9D2CE"/>
      </top>
      <bottom/>
      <diagonal/>
    </border>
    <border>
      <left/>
      <right/>
      <top style="thin">
        <color rgb="00C9D2CE"/>
      </top>
      <bottom style="thin">
        <color rgb="00C9D2CE"/>
      </bottom>
      <diagonal/>
    </border>
    <border>
      <left/>
      <right style="thin">
        <color rgb="00C9D2CE"/>
      </right>
      <top style="thin">
        <color rgb="00C9D2CE"/>
      </top>
      <bottom style="thin">
        <color rgb="00C9D2CE"/>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applyAlignment="1" pivotButton="0" quotePrefix="0" xfId="0">
      <alignment vertical="center" wrapText="1"/>
    </xf>
    <xf numFmtId="0" fontId="0" fillId="0" borderId="4" pivotButton="0" quotePrefix="0" xfId="0"/>
    <xf numFmtId="0" fontId="0" fillId="0" borderId="5" pivotButton="0" quotePrefix="0" xfId="0"/>
    <xf numFmtId="0" fontId="5" fillId="2" borderId="1" applyAlignment="1" pivotButton="0" quotePrefix="0" xfId="0">
      <alignment vertical="center" wrapText="1"/>
    </xf>
    <xf numFmtId="0" fontId="6" fillId="0" borderId="1" applyAlignment="1" pivotButton="0" quotePrefix="0" xfId="0">
      <alignment vertical="center"/>
    </xf>
    <xf numFmtId="3" fontId="4" fillId="0" borderId="1" applyAlignment="1" pivotButton="0" quotePrefix="0" xfId="0">
      <alignment vertical="center"/>
    </xf>
    <xf numFmtId="164" fontId="4" fillId="0" borderId="1" applyAlignment="1" pivotButton="0" quotePrefix="0" xfId="0">
      <alignment vertical="center"/>
    </xf>
    <xf numFmtId="164" fontId="6" fillId="0" borderId="1" applyAlignment="1" pivotButton="0" quotePrefix="0" xfId="0">
      <alignment vertical="center"/>
    </xf>
    <xf numFmtId="164" fontId="6" fillId="3" borderId="1" applyAlignment="1" pivotButton="0" quotePrefix="0" xfId="0">
      <alignment vertical="center"/>
    </xf>
    <xf numFmtId="0" fontId="6" fillId="0" borderId="1" applyAlignment="1" pivotButton="0" quotePrefix="0" xfId="0">
      <alignment vertical="center" wrapText="1"/>
    </xf>
    <xf numFmtId="0" fontId="7" fillId="4" borderId="1" applyAlignment="1" pivotButton="0" quotePrefix="0" xfId="0">
      <alignment horizontal="center" vertical="center"/>
    </xf>
    <xf numFmtId="0" fontId="8" fillId="5" borderId="1" applyAlignment="1" pivotButton="0" quotePrefix="0" xfId="0">
      <alignment vertical="center" wrapText="1"/>
    </xf>
    <xf numFmtId="164" fontId="9" fillId="6" borderId="1" applyAlignment="1" pivotButton="0" quotePrefix="0" xfId="0">
      <alignment horizontal="center" vertical="center"/>
    </xf>
    <xf numFmtId="0" fontId="10"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164" fontId="6" fillId="0" borderId="1" applyAlignment="1" pivotButton="0" quotePrefix="0" xfId="0">
      <alignment horizontal="center" vertical="center"/>
    </xf>
    <xf numFmtId="9" fontId="4" fillId="3" borderId="1" applyAlignment="1" pivotButton="0" quotePrefix="0" xfId="0">
      <alignment horizontal="center" vertical="center"/>
    </xf>
    <xf numFmtId="0" fontId="10" fillId="0" borderId="1" applyAlignment="1" pivotButton="0" quotePrefix="0" xfId="0">
      <alignment vertical="center"/>
    </xf>
    <xf numFmtId="3" fontId="6" fillId="0" borderId="1" applyAlignment="1" pivotButton="0" quotePrefix="0" xfId="0">
      <alignment horizontal="center" vertical="center"/>
    </xf>
    <xf numFmtId="164" fontId="6" fillId="7" borderId="1" applyAlignment="1" pivotButton="0" quotePrefix="0" xfId="0">
      <alignment horizontal="center" vertical="center"/>
    </xf>
    <xf numFmtId="0" fontId="4" fillId="0" borderId="1" applyAlignment="1" pivotButton="0" quotePrefix="0" xfId="0">
      <alignment vertical="center"/>
    </xf>
    <xf numFmtId="3" fontId="9" fillId="6" borderId="1" applyAlignment="1" pivotButton="0" quotePrefix="0" xfId="0">
      <alignment horizontal="center" vertical="center"/>
    </xf>
    <xf numFmtId="165" fontId="9" fillId="6" borderId="1" applyAlignment="1" pivotButton="0" quotePrefix="0" xfId="0">
      <alignment horizontal="center" vertical="center"/>
    </xf>
    <xf numFmtId="3" fontId="4" fillId="0" borderId="1" applyAlignment="1" pivotButton="0" quotePrefix="0" xfId="0">
      <alignment horizontal="center" vertical="center"/>
    </xf>
    <xf numFmtId="164" fontId="6" fillId="3" borderId="1" applyAlignment="1" pivotButton="0" quotePrefix="0" xfId="0">
      <alignment horizontal="center" vertical="center"/>
    </xf>
    <xf numFmtId="0" fontId="4" fillId="0" borderId="1" applyAlignment="1" pivotButton="0" quotePrefix="0" xfId="0">
      <alignment vertical="top" wrapText="1"/>
    </xf>
    <xf numFmtId="0" fontId="6" fillId="3" borderId="1" applyAlignment="1" pivotButton="0" quotePrefix="0" xfId="0">
      <alignment vertical="center" wrapText="1"/>
    </xf>
    <xf numFmtId="0" fontId="6" fillId="3" borderId="1" applyAlignment="1" pivotButton="0" quotePrefix="0" xfId="0">
      <alignment horizontal="center" vertical="center"/>
    </xf>
    <xf numFmtId="0" fontId="4" fillId="3" borderId="1" applyAlignment="1" pivotButton="0" quotePrefix="0" xfId="0">
      <alignment vertical="center" wrapText="1"/>
    </xf>
    <xf numFmtId="0" fontId="4" fillId="7" borderId="1" applyAlignment="1" pivotButton="0" quotePrefix="0" xfId="0">
      <alignment vertical="center" wrapText="1"/>
    </xf>
    <xf numFmtId="0" fontId="4" fillId="0" borderId="0"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Vereinspreis vs. Einzelanmeldungen (CHF / Jahr)</a:t>
            </a:r>
          </a:p>
        </rich>
      </tx>
    </title>
    <plotArea>
      <barChart>
        <barDir val="col"/>
        <grouping val="clustered"/>
        <ser>
          <idx val="0"/>
          <order val="0"/>
          <tx>
            <strRef>
              <f>'2 Preise'!C15</f>
            </strRef>
          </tx>
          <spPr>
            <a:ln>
              <a:prstDash val="solid"/>
            </a:ln>
          </spPr>
          <cat>
            <numRef>
              <f>'2 Preise'!$A$16:$A$22</f>
            </numRef>
          </cat>
          <val>
            <numRef>
              <f>'2 Preise'!$C$16:$C$22</f>
            </numRef>
          </val>
        </ser>
        <ser>
          <idx val="1"/>
          <order val="1"/>
          <tx>
            <strRef>
              <f>'2 Preise'!D15</f>
            </strRef>
          </tx>
          <spPr>
            <a:ln>
              <a:prstDash val="solid"/>
            </a:ln>
          </spPr>
          <cat>
            <numRef>
              <f>'2 Preise'!$A$16:$A$22</f>
            </numRef>
          </cat>
          <val>
            <numRef>
              <f>'2 Preise'!$D$16:$D$22</f>
            </numRef>
          </val>
        </ser>
        <gapWidth val="150"/>
        <axId val="10"/>
        <axId val="100"/>
      </barChart>
      <catAx>
        <axId val="10"/>
        <scaling>
          <orientation val="minMax"/>
        </scaling>
        <axPos val="l"/>
        <title>
          <tx>
            <rich>
              <a:bodyPr/>
              <a:p>
                <a:pPr>
                  <a:defRPr/>
                </a:pPr>
                <a:r>
                  <a:t>Anzahl Coaches im Verein</a:t>
                </a:r>
              </a:p>
            </rich>
          </tx>
        </title>
        <majorTickMark val="none"/>
        <minorTickMark val="none"/>
        <crossAx val="100"/>
        <lblOffset val="100"/>
      </catAx>
      <valAx>
        <axId val="100"/>
        <scaling>
          <orientation val="minMax"/>
        </scaling>
        <axPos val="l"/>
        <majorGridlines/>
        <title>
          <tx>
            <rich>
              <a:bodyPr/>
              <a:p>
                <a:pPr>
                  <a:defRPr/>
                </a:pPr>
                <a:r>
                  <a:t>CHF pro Jahr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Umsatz je Szenario</a:t>
            </a:r>
          </a:p>
        </rich>
      </tx>
    </title>
    <plotArea>
      <barChart>
        <barDir val="col"/>
        <grouping val="clustered"/>
        <ser>
          <idx val="0"/>
          <order val="0"/>
          <tx>
            <strRef>
              <f>'3 Umsatz'!D27</f>
            </strRef>
          </tx>
          <spPr>
            <a:ln>
              <a:prstDash val="solid"/>
            </a:ln>
          </spPr>
          <cat>
            <numRef>
              <f>'3 Umsatz'!$A$28:$A$30</f>
            </numRef>
          </cat>
          <val>
            <numRef>
              <f>'3 Umsatz'!$D$28:$D$30</f>
            </numRef>
          </val>
        </ser>
        <ser>
          <idx val="1"/>
          <order val="1"/>
          <tx>
            <strRef>
              <f>'3 Umsatz'!E27</f>
            </strRef>
          </tx>
          <spPr>
            <a:ln>
              <a:prstDash val="solid"/>
            </a:ln>
          </spPr>
          <cat>
            <numRef>
              <f>'3 Umsatz'!$A$28:$A$30</f>
            </numRef>
          </cat>
          <val>
            <numRef>
              <f>'3 Umsatz'!$E$28:$E$30</f>
            </numRef>
          </val>
        </ser>
        <ser>
          <idx val="2"/>
          <order val="2"/>
          <tx>
            <strRef>
              <f>'3 Umsatz'!F27</f>
            </strRef>
          </tx>
          <spPr>
            <a:ln>
              <a:prstDash val="solid"/>
            </a:ln>
          </spPr>
          <cat>
            <numRef>
              <f>'3 Umsatz'!$A$28:$A$30</f>
            </numRef>
          </cat>
          <val>
            <numRef>
              <f>'3 Umsatz'!$F$28:$F$30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CHF</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Kontaktierbare Vereine nach Sportart</a:t>
            </a:r>
          </a:p>
        </rich>
      </tx>
    </title>
    <plotArea>
      <barChart>
        <barDir val="col"/>
        <grouping val="clustered"/>
        <ser>
          <idx val="0"/>
          <order val="0"/>
          <tx>
            <strRef>
              <f>'4 Markt'!B4</f>
            </strRef>
          </tx>
          <spPr>
            <a:ln>
              <a:prstDash val="solid"/>
            </a:ln>
          </spPr>
          <cat>
            <numRef>
              <f>'4 Markt'!$A$5:$A$8</f>
            </numRef>
          </cat>
          <val>
            <numRef>
              <f>'4 Markt'!$B$5:$B$8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hyperlink" Target="https://www.swissolympic.ch/dam/jcr:e13bfb8d-92a6-41a3-89e4-b80d30c2d23c/Vereinsstudie%202022_DE_Web.pdf" TargetMode="External" Id="rId1" /><Relationship Type="http://schemas.openxmlformats.org/officeDocument/2006/relationships/hyperlink" Target="https://www.sportobs.ch/inhalte/Indikatoren_PDF_neu/Ind_22_Sportobs.pdf" TargetMode="External" Id="rId2" /><Relationship Type="http://schemas.openxmlformats.org/officeDocument/2006/relationships/hyperlink" Target="https://www.sportobs.ch/inhalte/Downloads/Bro_Sport_Schweiz_2020_d_WEB.pdf" TargetMode="External" Id="rId3" /><Relationship Type="http://schemas.openxmlformats.org/officeDocument/2006/relationships/hyperlink" Target="https://www.swiss-aquatics.ch/verband/mitglieder/alle-mitgliedvereine/" TargetMode="External" Id="rId4" /><Relationship Type="http://schemas.openxmlformats.org/officeDocument/2006/relationships/hyperlink" Target="https://www.swisstennis.ch/de/" TargetMode="External" Id="rId5" /><Relationship Type="http://schemas.openxmlformats.org/officeDocument/2006/relationships/hyperlink" Target="https://www.swissgolf.ch/" TargetMode="External" Id="rId6" /><Relationship Type="http://schemas.openxmlformats.org/officeDocument/2006/relationships/hyperlink" Target="https://www.graubuenden.ch/de/news/saisonzeiten-golfplaetze" TargetMode="External" Id="rId7" /><Relationship Type="http://schemas.openxmlformats.org/officeDocument/2006/relationships/hyperlink" Target="https://www.sihf.ch/" TargetMode="External" Id="rId8" /></Relationships>
</file>

<file path=xl/worksheets/sheet1.xml><?xml version="1.0" encoding="utf-8"?>
<worksheet xmlns="http://schemas.openxmlformats.org/spreadsheetml/2006/main">
  <sheetPr>
    <outlinePr summaryBelow="1" summaryRight="1"/>
    <pageSetUpPr/>
  </sheetPr>
  <dimension ref="A1:E19"/>
  <sheetViews>
    <sheetView showGridLines="0" workbookViewId="0">
      <selection activeCell="A1" sqref="A1"/>
    </sheetView>
  </sheetViews>
  <sheetFormatPr baseColWidth="8" defaultRowHeight="15"/>
  <cols>
    <col width="26" customWidth="1" min="1" max="1"/>
    <col width="22" customWidth="1" min="2" max="2"/>
    <col width="22" customWidth="1" min="3" max="3"/>
    <col width="22" customWidth="1" min="4" max="4"/>
    <col width="26" customWidth="1" min="5" max="5"/>
  </cols>
  <sheetData>
    <row r="1" ht="26" customHeight="1">
      <c r="A1" s="1" t="inlineStr">
        <is>
          <t>Vereine als Kunden</t>
        </is>
      </c>
    </row>
    <row r="2">
      <c r="A2" s="2" t="inlineStr">
        <is>
          <t>Coach Grid · Stand 29.07.2026 · Zahlen aus Blatt 2 bis 4</t>
        </is>
      </c>
    </row>
    <row r="4">
      <c r="A4" s="3" t="inlineStr">
        <is>
          <t>Die Chance</t>
        </is>
      </c>
    </row>
    <row r="5" ht="42" customHeight="1">
      <c r="A5" s="4" t="inlineStr">
        <is>
          <t>Ein einzelner Vertrag mit einem Verein bringt 10 bis 40 Coaches auf einmal — und damit 10× mehr Umsatz als eine Einzelanmeldung. 414 Vereine stehen bereits in unserer Liste mit Telefon und E-Mail-Adresse. Die zahlungsfähigen Vereine in der Schweiz: rund 3'500. TAM: CHF 1–4 Mio. ARR.</t>
        </is>
      </c>
      <c r="B5" s="5" t="n"/>
      <c r="C5" s="5" t="n"/>
      <c r="D5" s="5" t="n"/>
      <c r="E5" s="6" t="n"/>
    </row>
    <row r="7">
      <c r="A7" s="3" t="inlineStr">
        <is>
          <t>Umsatz über drei Jahre</t>
        </is>
      </c>
    </row>
    <row r="8" ht="30" customHeight="1">
      <c r="A8" s="7" t="inlineStr">
        <is>
          <t>Szenario</t>
        </is>
      </c>
      <c r="B8" s="7" t="inlineStr">
        <is>
          <t>Vereine im Jahr 1</t>
        </is>
      </c>
      <c r="C8" s="7" t="inlineStr">
        <is>
          <t>Umsatz Jahr 1</t>
        </is>
      </c>
      <c r="D8" s="7" t="inlineStr">
        <is>
          <t>Umsatz Jahr 3</t>
        </is>
      </c>
      <c r="E8" s="7" t="inlineStr">
        <is>
          <t>3 Jahre zusammen</t>
        </is>
      </c>
    </row>
    <row r="9" ht="22" customHeight="1">
      <c r="A9" s="8" t="inlineStr">
        <is>
          <t>Vorsichtig</t>
        </is>
      </c>
      <c r="B9" s="9">
        <f>'3 Umsatz'!D16</f>
        <v/>
      </c>
      <c r="C9" s="10">
        <f>'3 Umsatz'!D17</f>
        <v/>
      </c>
      <c r="D9" s="10">
        <f>'3 Umsatz'!D21</f>
        <v/>
      </c>
      <c r="E9" s="11">
        <f>'3 Umsatz'!D22</f>
        <v/>
      </c>
    </row>
    <row r="10" ht="22" customHeight="1">
      <c r="A10" s="8" t="inlineStr">
        <is>
          <t>Realistisch</t>
        </is>
      </c>
      <c r="B10" s="9">
        <f>'3 Umsatz'!E16</f>
        <v/>
      </c>
      <c r="C10" s="10">
        <f>'3 Umsatz'!E17</f>
        <v/>
      </c>
      <c r="D10" s="10">
        <f>'3 Umsatz'!E21</f>
        <v/>
      </c>
      <c r="E10" s="12">
        <f>'3 Umsatz'!E22</f>
        <v/>
      </c>
    </row>
    <row r="11" ht="22" customHeight="1">
      <c r="A11" s="8" t="inlineStr">
        <is>
          <t>Optimistisch</t>
        </is>
      </c>
      <c r="B11" s="9">
        <f>'3 Umsatz'!F16</f>
        <v/>
      </c>
      <c r="C11" s="10">
        <f>'3 Umsatz'!F17</f>
        <v/>
      </c>
      <c r="D11" s="10">
        <f>'3 Umsatz'!F21</f>
        <v/>
      </c>
      <c r="E11" s="11">
        <f>'3 Umsatz'!F22</f>
        <v/>
      </c>
    </row>
    <row r="13">
      <c r="A13" s="3" t="inlineStr">
        <is>
          <t>Die drei wichtigsten Erkenntnisse</t>
        </is>
      </c>
    </row>
    <row r="14" ht="30" customHeight="1">
      <c r="A14" s="7" t="inlineStr">
        <is>
          <t>Erkenntnis</t>
        </is>
      </c>
      <c r="B14" s="7" t="inlineStr">
        <is>
          <t>Was das heisst</t>
        </is>
      </c>
      <c r="C14" s="7" t="inlineStr"/>
      <c r="D14" s="7" t="inlineStr"/>
      <c r="E14" s="7" t="inlineStr"/>
    </row>
    <row r="15" ht="52" customHeight="1">
      <c r="A15" s="13" t="inlineStr">
        <is>
          <t>Win-Win-Win: alle drei Seiten gewinnen</t>
        </is>
      </c>
      <c r="B15" s="4" t="inlineStr">
        <is>
          <t>Der Verein zahlt für Sichtbarkeit und erhält dafür alle Buchungseinnahmen — er hat einen direkten Anreiz, seine Coaches zu platzieren. Der Coach spart die CHF 399 Einzelanmeldung und gibt bei Privatbuchungen nur einen Anteil ab. Coach Grid verdient stabil an der Jahreslizenz, ohne Provision auf jede Buchung (Blatt 6).</t>
        </is>
      </c>
      <c r="C15" s="5" t="n"/>
      <c r="D15" s="5" t="n"/>
      <c r="E15" s="6" t="n"/>
    </row>
    <row r="16" ht="52" customHeight="1">
      <c r="A16" s="13" t="inlineStr">
        <is>
          <t>Fokus auf grosse Vereine: 20 reichen für CHF 180'000</t>
        </is>
      </c>
      <c r="B16" s="4" t="inlineStr">
        <is>
          <t>20 Vereine im M-Paket (10 Coaches, CHF 4'900/Jahr) ergeben CHF 98'000. Mit Clubs im L-Paket sind CHF 180'000 allein im Jahr 1 erreichbar — bei einem Bruchteil des Akquiseaufwands gegenüber hunderten Einzelcoaches (Blatt 3).</t>
        </is>
      </c>
      <c r="C16" s="5" t="n"/>
      <c r="D16" s="5" t="n"/>
      <c r="E16" s="6" t="n"/>
    </row>
    <row r="17" ht="52" customHeight="1">
      <c r="A17" s="13" t="inlineStr">
        <is>
          <t>Zwei Sportarten decken das ganze Jahr</t>
        </is>
      </c>
      <c r="B17" s="4" t="inlineStr">
        <is>
          <t>Golf läuft April bis Oktober, Eishockey September bis April. Wer beide Sportarten im Kundenstamm hat, hat zwölf Monate Anfragen statt einer toten Wintersaison — eine Kombination, die kein einzelner Coach bieten kann (Blatt 4).</t>
        </is>
      </c>
      <c r="C17" s="5" t="n"/>
      <c r="D17" s="5" t="n"/>
      <c r="E17" s="6" t="n"/>
    </row>
    <row r="19" ht="58" customHeight="1">
      <c r="A19" s="14" t="inlineStr">
        <is>
          <t>FAZIT</t>
        </is>
      </c>
      <c r="B19" s="15" t="inlineStr">
        <is>
          <t>Das Modell ist konkret: 414 Vereine sind bereits kontaktierbar, der erste Umsatz ist in 90 Tagen erreichbar — ohne neue Entwicklung. Im realistischen Fall stehen nach drei Jahren rund CHF 470'000 auf dem Konto. Nächster Schritt: 50 Golfclubs anschreiben, drei Pilotkunden gewinnen, Zahlen messen (Blatt 7).</t>
        </is>
      </c>
      <c r="C19" s="5" t="n"/>
      <c r="D19" s="5" t="n"/>
      <c r="E19" s="6" t="n"/>
    </row>
  </sheetData>
  <mergeCells count="5">
    <mergeCell ref="B17:E17"/>
    <mergeCell ref="B16:E16"/>
    <mergeCell ref="B15:E15"/>
    <mergeCell ref="A5:E5"/>
    <mergeCell ref="B19:E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6" customWidth="1" min="6" max="6"/>
  </cols>
  <sheetData>
    <row r="1" ht="26" customHeight="1">
      <c r="A1" s="1" t="inlineStr">
        <is>
          <t>Preise</t>
        </is>
      </c>
    </row>
    <row r="2">
      <c r="A2" s="2" t="inlineStr">
        <is>
          <t>Einzelcoach CHF 399 / Jahr. Vereine zahlen für Sichtbarkeit auf thecoachgrid.com — Buchungseinnahmen gehen an den Verein, nicht an Coach Grid.</t>
        </is>
      </c>
    </row>
    <row r="4">
      <c r="A4" s="8" t="inlineStr">
        <is>
          <t>Einzelcoach — Preis pro Jahr (heute)</t>
        </is>
      </c>
      <c r="B4" s="16" t="n">
        <v>399</v>
      </c>
      <c r="C4" s="17" t="inlineStr">
        <is>
          <t>Eingabe</t>
        </is>
      </c>
    </row>
    <row r="6">
      <c r="A6" s="3" t="inlineStr">
        <is>
          <t>Vereinspakete — Preis pro Coach und Jahr</t>
        </is>
      </c>
    </row>
    <row r="7" ht="30" customHeight="1">
      <c r="A7" s="7" t="inlineStr">
        <is>
          <t>Stufe</t>
        </is>
      </c>
      <c r="B7" s="7" t="inlineStr">
        <is>
          <t>Coaches</t>
        </is>
      </c>
      <c r="C7" s="7" t="inlineStr">
        <is>
          <t>Pro Coach / Jahr</t>
        </is>
      </c>
      <c r="D7" s="7" t="inlineStr">
        <is>
          <t>Monatlich</t>
        </is>
      </c>
      <c r="E7" s="7" t="inlineStr">
        <is>
          <t>Jahresbeispiel</t>
        </is>
      </c>
      <c r="F7" s="7" t="inlineStr">
        <is>
          <t>Aufschlag vs. Einzelcoach</t>
        </is>
      </c>
    </row>
    <row r="8" ht="22" customHeight="1">
      <c r="A8" s="18" t="inlineStr">
        <is>
          <t>S</t>
        </is>
      </c>
      <c r="B8" s="19" t="inlineStr">
        <is>
          <t>1 – 5</t>
        </is>
      </c>
      <c r="C8" s="16" t="n">
        <v>549</v>
      </c>
      <c r="D8" s="20">
        <f>C8/12</f>
        <v/>
      </c>
      <c r="E8" s="21">
        <f>C8*3</f>
        <v/>
      </c>
      <c r="F8" s="22">
        <f>(C8-$B$4)/$B$4</f>
        <v/>
      </c>
    </row>
    <row r="9" ht="22" customHeight="1">
      <c r="A9" s="18" t="inlineStr">
        <is>
          <t>M</t>
        </is>
      </c>
      <c r="B9" s="19" t="inlineStr">
        <is>
          <t>6 – 15</t>
        </is>
      </c>
      <c r="C9" s="16" t="n">
        <v>490</v>
      </c>
      <c r="D9" s="20">
        <f>C9/12</f>
        <v/>
      </c>
      <c r="E9" s="21">
        <f>C9*10</f>
        <v/>
      </c>
      <c r="F9" s="22">
        <f>(C9-$B$4)/$B$4</f>
        <v/>
      </c>
    </row>
    <row r="10" ht="22" customHeight="1">
      <c r="A10" s="18" t="inlineStr">
        <is>
          <t>L</t>
        </is>
      </c>
      <c r="B10" s="19" t="inlineStr">
        <is>
          <t>16 – 30</t>
        </is>
      </c>
      <c r="C10" s="16" t="n">
        <v>449</v>
      </c>
      <c r="D10" s="20">
        <f>C10/12</f>
        <v/>
      </c>
      <c r="E10" s="21">
        <f>C10*20</f>
        <v/>
      </c>
      <c r="F10" s="22">
        <f>(C10-$B$4)/$B$4</f>
        <v/>
      </c>
    </row>
    <row r="11" ht="22" customHeight="1">
      <c r="A11" s="18" t="inlineStr">
        <is>
          <t>XL</t>
        </is>
      </c>
      <c r="B11" s="19" t="inlineStr">
        <is>
          <t>ab 31</t>
        </is>
      </c>
      <c r="C11" s="16" t="n">
        <v>420</v>
      </c>
      <c r="D11" s="20">
        <f>C11/12</f>
        <v/>
      </c>
      <c r="E11" s="21">
        <f>C11*35</f>
        <v/>
      </c>
      <c r="F11" s="22">
        <f>(C11-$B$4)/$B$4</f>
        <v/>
      </c>
    </row>
    <row r="12" ht="28" customHeight="1">
      <c r="A12" s="23" t="inlineStr">
        <is>
          <t>Jahresbeispiel: S = 3 Coaches (CHF 1'647/Jahr = CHF 137/Monat), M = 10, L = 20, XL = 35. Einstiegspreis ~0.8 % eines typischen Golfclub-Budgets (CHF 200'000+). Inklusive: Club-Dashboard, Sammelrechnung, Analytics, Vereinsprofil auf thecoachgrid.com.</t>
        </is>
      </c>
      <c r="B12" s="5" t="n"/>
      <c r="C12" s="5" t="n"/>
      <c r="D12" s="5" t="n"/>
      <c r="E12" s="5" t="n"/>
      <c r="F12" s="6" t="n"/>
    </row>
    <row r="14">
      <c r="A14" s="3" t="inlineStr">
        <is>
          <t>Jahreskosten im Vergleich: Vereinspaket vs. Einzelanmeldungen</t>
        </is>
      </c>
    </row>
    <row r="15" ht="30" customHeight="1">
      <c r="A15" s="7" t="inlineStr">
        <is>
          <t>Coaches</t>
        </is>
      </c>
      <c r="B15" s="7" t="inlineStr">
        <is>
          <t>Stufe</t>
        </is>
      </c>
      <c r="C15" s="7" t="inlineStr">
        <is>
          <t>Vereinspreis total</t>
        </is>
      </c>
      <c r="D15" s="7" t="inlineStr">
        <is>
          <t>Einzeln total</t>
        </is>
      </c>
      <c r="E15" s="7" t="inlineStr">
        <is>
          <t>Mehrkosten</t>
        </is>
      </c>
      <c r="F15" s="7" t="inlineStr">
        <is>
          <t>Aufschlag</t>
        </is>
      </c>
    </row>
    <row r="16" ht="20" customHeight="1">
      <c r="A16" s="24" t="n">
        <v>3</v>
      </c>
      <c r="B16" s="19" t="inlineStr">
        <is>
          <t>S</t>
        </is>
      </c>
      <c r="C16" s="20">
        <f>3*$C$8</f>
        <v/>
      </c>
      <c r="D16" s="20">
        <f>3*$B$4</f>
        <v/>
      </c>
      <c r="E16" s="25">
        <f>C16-D16</f>
        <v/>
      </c>
      <c r="F16" s="22">
        <f>(C16-D16)/D16</f>
        <v/>
      </c>
    </row>
    <row r="17" ht="20" customHeight="1">
      <c r="A17" s="24" t="n">
        <v>5</v>
      </c>
      <c r="B17" s="19" t="inlineStr">
        <is>
          <t>S</t>
        </is>
      </c>
      <c r="C17" s="20">
        <f>5*$C$8</f>
        <v/>
      </c>
      <c r="D17" s="20">
        <f>5*$B$4</f>
        <v/>
      </c>
      <c r="E17" s="25">
        <f>C17-D17</f>
        <v/>
      </c>
      <c r="F17" s="22">
        <f>(C17-D17)/D17</f>
        <v/>
      </c>
    </row>
    <row r="18" ht="20" customHeight="1">
      <c r="A18" s="24" t="n">
        <v>10</v>
      </c>
      <c r="B18" s="19" t="inlineStr">
        <is>
          <t>M</t>
        </is>
      </c>
      <c r="C18" s="20">
        <f>10*$C$9</f>
        <v/>
      </c>
      <c r="D18" s="20">
        <f>10*$B$4</f>
        <v/>
      </c>
      <c r="E18" s="25">
        <f>C18-D18</f>
        <v/>
      </c>
      <c r="F18" s="22">
        <f>(C18-D18)/D18</f>
        <v/>
      </c>
    </row>
    <row r="19" ht="20" customHeight="1">
      <c r="A19" s="24" t="n">
        <v>15</v>
      </c>
      <c r="B19" s="19" t="inlineStr">
        <is>
          <t>M</t>
        </is>
      </c>
      <c r="C19" s="20">
        <f>15*$C$9</f>
        <v/>
      </c>
      <c r="D19" s="20">
        <f>15*$B$4</f>
        <v/>
      </c>
      <c r="E19" s="25">
        <f>C19-D19</f>
        <v/>
      </c>
      <c r="F19" s="22">
        <f>(C19-D19)/D19</f>
        <v/>
      </c>
    </row>
    <row r="20" ht="20" customHeight="1">
      <c r="A20" s="24" t="n">
        <v>20</v>
      </c>
      <c r="B20" s="19" t="inlineStr">
        <is>
          <t>L</t>
        </is>
      </c>
      <c r="C20" s="20">
        <f>20*$C$10</f>
        <v/>
      </c>
      <c r="D20" s="20">
        <f>20*$B$4</f>
        <v/>
      </c>
      <c r="E20" s="25">
        <f>C20-D20</f>
        <v/>
      </c>
      <c r="F20" s="22">
        <f>(C20-D20)/D20</f>
        <v/>
      </c>
    </row>
    <row r="21" ht="20" customHeight="1">
      <c r="A21" s="24" t="n">
        <v>30</v>
      </c>
      <c r="B21" s="19" t="inlineStr">
        <is>
          <t>L</t>
        </is>
      </c>
      <c r="C21" s="20">
        <f>30*$C$10</f>
        <v/>
      </c>
      <c r="D21" s="20">
        <f>30*$B$4</f>
        <v/>
      </c>
      <c r="E21" s="25">
        <f>C21-D21</f>
        <v/>
      </c>
      <c r="F21" s="22">
        <f>(C21-D21)/D21</f>
        <v/>
      </c>
    </row>
    <row r="22" ht="20" customHeight="1">
      <c r="A22" s="24" t="n">
        <v>40</v>
      </c>
      <c r="B22" s="19" t="inlineStr">
        <is>
          <t>XL</t>
        </is>
      </c>
      <c r="C22" s="20">
        <f>40*$C$11</f>
        <v/>
      </c>
      <c r="D22" s="20">
        <f>40*$B$4</f>
        <v/>
      </c>
      <c r="E22" s="25">
        <f>C22-D22</f>
        <v/>
      </c>
      <c r="F22" s="22">
        <f>(C22-D22)/D22</f>
        <v/>
      </c>
    </row>
    <row r="25" ht="58" customHeight="1">
      <c r="A25" s="14" t="inlineStr">
        <is>
          <t>FAZIT</t>
        </is>
      </c>
      <c r="B25" s="15" t="inlineStr">
        <is>
          <t>Der Einstieg liegt bei CHF 1'647/Jahr (3 Coaches, Stufe S) — CHF 137/Monat und weniger als 1 % eines typischen Golfclub-Budgets. Coach Grid verdient die Jahreslizenz. Buchungseinnahmen gehen an den Verein — er profitiert direkt davon, seine Coaches sichtbar zu machen. Coaches sparen die Einzelanmeldung (CHF 399) und geben bei Privatbuchungen nur einen kleinen Anteil ab. Win-Win-Win: Verein, Coach und Coach Grid haben alle einen echten Anreiz.</t>
        </is>
      </c>
      <c r="C25" s="5" t="n"/>
      <c r="D25" s="5" t="n"/>
      <c r="E25" s="5" t="n"/>
      <c r="F25" s="6" t="n"/>
    </row>
  </sheetData>
  <mergeCells count="2">
    <mergeCell ref="B25:F25"/>
    <mergeCell ref="A12:F1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30" customWidth="1" min="1" max="1"/>
    <col width="22" customWidth="1" min="2" max="2"/>
    <col width="4" customWidth="1" min="3" max="3"/>
    <col width="20" customWidth="1" min="4" max="4"/>
    <col width="20" customWidth="1" min="5" max="5"/>
    <col width="20" customWidth="1" min="6" max="6"/>
  </cols>
  <sheetData>
    <row r="1" ht="26" customHeight="1">
      <c r="A1" s="1" t="inlineStr">
        <is>
          <t>Umsatz</t>
        </is>
      </c>
    </row>
    <row r="2">
      <c r="A2" s="2" t="inlineStr">
        <is>
          <t>Blau ist Eingabe. Wer dort etwas ändert, sieht sofort die Wirkung.</t>
        </is>
      </c>
    </row>
    <row r="4">
      <c r="A4" s="3" t="inlineStr">
        <is>
          <t>Annahmen</t>
        </is>
      </c>
    </row>
    <row r="5" ht="30" customHeight="1">
      <c r="A5" s="7" t="inlineStr"/>
      <c r="B5" s="7" t="inlineStr"/>
      <c r="C5" s="7" t="inlineStr"/>
      <c r="D5" s="7" t="inlineStr">
        <is>
          <t>Vorsichtig</t>
        </is>
      </c>
      <c r="E5" s="7" t="inlineStr">
        <is>
          <t>Realistisch</t>
        </is>
      </c>
      <c r="F5" s="7" t="inlineStr">
        <is>
          <t>Optimistisch</t>
        </is>
      </c>
    </row>
    <row r="6" ht="20" customHeight="1">
      <c r="A6" s="26" t="inlineStr">
        <is>
          <t>Vereine angeschrieben</t>
        </is>
      </c>
      <c r="B6" s="5" t="n"/>
      <c r="C6" s="6" t="n"/>
      <c r="D6" s="27" t="n">
        <v>200</v>
      </c>
      <c r="E6" s="27" t="n">
        <v>350</v>
      </c>
      <c r="F6" s="27" t="n">
        <v>414</v>
      </c>
    </row>
    <row r="7" ht="20" customHeight="1">
      <c r="A7" s="26" t="inlineStr">
        <is>
          <t>davon antworten</t>
        </is>
      </c>
      <c r="B7" s="5" t="n"/>
      <c r="C7" s="6" t="n"/>
      <c r="D7" s="28" t="n">
        <v>0.12</v>
      </c>
      <c r="E7" s="28" t="n">
        <v>0.2</v>
      </c>
      <c r="F7" s="28" t="n">
        <v>0.3</v>
      </c>
    </row>
    <row r="8" ht="20" customHeight="1">
      <c r="A8" s="26" t="inlineStr">
        <is>
          <t>davon werden Kunde</t>
        </is>
      </c>
      <c r="B8" s="5" t="n"/>
      <c r="C8" s="6" t="n"/>
      <c r="D8" s="28" t="n">
        <v>0.08</v>
      </c>
      <c r="E8" s="28" t="n">
        <v>0.15</v>
      </c>
      <c r="F8" s="28" t="n">
        <v>0.25</v>
      </c>
    </row>
    <row r="9" ht="20" customHeight="1">
      <c r="A9" s="26" t="inlineStr">
        <is>
          <t>Preis pro Verein und Jahr</t>
        </is>
      </c>
      <c r="B9" s="5" t="n"/>
      <c r="C9" s="6" t="n"/>
      <c r="D9" s="16" t="n">
        <v>2200</v>
      </c>
      <c r="E9" s="16" t="n">
        <v>4900</v>
      </c>
      <c r="F9" s="16" t="n">
        <v>9000</v>
      </c>
    </row>
    <row r="10" ht="20" customHeight="1">
      <c r="A10" s="26" t="inlineStr">
        <is>
          <t>bleiben im Folgejahr</t>
        </is>
      </c>
      <c r="B10" s="5" t="n"/>
      <c r="C10" s="6" t="n"/>
      <c r="D10" s="28" t="n">
        <v>0.75</v>
      </c>
      <c r="E10" s="28" t="n">
        <v>0.85</v>
      </c>
      <c r="F10" s="28" t="n">
        <v>0.9</v>
      </c>
    </row>
    <row r="11" ht="20" customHeight="1">
      <c r="A11" s="26" t="inlineStr">
        <is>
          <t>neue Vereine im Jahr 2</t>
        </is>
      </c>
      <c r="B11" s="5" t="n"/>
      <c r="C11" s="6" t="n"/>
      <c r="D11" s="27" t="n">
        <v>8</v>
      </c>
      <c r="E11" s="27" t="n">
        <v>20</v>
      </c>
      <c r="F11" s="27" t="n">
        <v>45</v>
      </c>
    </row>
    <row r="12" ht="20" customHeight="1">
      <c r="A12" s="26" t="inlineStr">
        <is>
          <t>neue Vereine im Jahr 3</t>
        </is>
      </c>
      <c r="B12" s="5" t="n"/>
      <c r="C12" s="6" t="n"/>
      <c r="D12" s="27" t="n">
        <v>10</v>
      </c>
      <c r="E12" s="27" t="n">
        <v>30</v>
      </c>
      <c r="F12" s="27" t="n">
        <v>70</v>
      </c>
    </row>
    <row r="14">
      <c r="A14" s="3" t="inlineStr">
        <is>
          <t>Ergebnis</t>
        </is>
      </c>
    </row>
    <row r="15" ht="30" customHeight="1">
      <c r="A15" s="7" t="inlineStr"/>
      <c r="B15" s="7" t="inlineStr"/>
      <c r="C15" s="7" t="inlineStr"/>
      <c r="D15" s="7" t="inlineStr">
        <is>
          <t>Vorsichtig</t>
        </is>
      </c>
      <c r="E15" s="7" t="inlineStr">
        <is>
          <t>Realistisch</t>
        </is>
      </c>
      <c r="F15" s="7" t="inlineStr">
        <is>
          <t>Optimistisch</t>
        </is>
      </c>
    </row>
    <row r="16" ht="20" customHeight="1">
      <c r="A16" s="26" t="inlineStr">
        <is>
          <t>Vereine als Kunde, Jahr 1</t>
        </is>
      </c>
      <c r="B16" s="5" t="n"/>
      <c r="C16" s="6" t="n"/>
      <c r="D16" s="29">
        <f>ROUND(D6*D7*D8,0)</f>
        <v/>
      </c>
      <c r="E16" s="29">
        <f>ROUND(E6*E7*E8,0)</f>
        <v/>
      </c>
      <c r="F16" s="29">
        <f>ROUND(F6*F7*F8,0)</f>
        <v/>
      </c>
    </row>
    <row r="17" ht="20" customHeight="1">
      <c r="A17" s="26" t="inlineStr">
        <is>
          <t>Umsatz Jahr 1</t>
        </is>
      </c>
      <c r="B17" s="5" t="n"/>
      <c r="C17" s="6" t="n"/>
      <c r="D17" s="20">
        <f>D16*D9</f>
        <v/>
      </c>
      <c r="E17" s="20">
        <f>E16*E9</f>
        <v/>
      </c>
      <c r="F17" s="20">
        <f>F16*F9</f>
        <v/>
      </c>
    </row>
    <row r="18" ht="20" customHeight="1">
      <c r="A18" s="26" t="inlineStr">
        <is>
          <t>Vereine als Kunde, Jahr 2</t>
        </is>
      </c>
      <c r="B18" s="5" t="n"/>
      <c r="C18" s="6" t="n"/>
      <c r="D18" s="29">
        <f>ROUND(D16*D10+D11,0)</f>
        <v/>
      </c>
      <c r="E18" s="29">
        <f>ROUND(E16*E10+E11,0)</f>
        <v/>
      </c>
      <c r="F18" s="29">
        <f>ROUND(F16*F10+F11,0)</f>
        <v/>
      </c>
    </row>
    <row r="19" ht="20" customHeight="1">
      <c r="A19" s="26" t="inlineStr">
        <is>
          <t>Umsatz Jahr 2</t>
        </is>
      </c>
      <c r="B19" s="5" t="n"/>
      <c r="C19" s="6" t="n"/>
      <c r="D19" s="20">
        <f>D18*D9</f>
        <v/>
      </c>
      <c r="E19" s="20">
        <f>E18*E9</f>
        <v/>
      </c>
      <c r="F19" s="20">
        <f>F18*F9</f>
        <v/>
      </c>
    </row>
    <row r="20" ht="20" customHeight="1">
      <c r="A20" s="26" t="inlineStr">
        <is>
          <t>Vereine als Kunde, Jahr 3</t>
        </is>
      </c>
      <c r="B20" s="5" t="n"/>
      <c r="C20" s="6" t="n"/>
      <c r="D20" s="29">
        <f>ROUND(D18*D10+D12,0)</f>
        <v/>
      </c>
      <c r="E20" s="29">
        <f>ROUND(E18*E10+E12,0)</f>
        <v/>
      </c>
      <c r="F20" s="29">
        <f>ROUND(F18*F10+F12,0)</f>
        <v/>
      </c>
    </row>
    <row r="21" ht="20" customHeight="1">
      <c r="A21" s="26" t="inlineStr">
        <is>
          <t>Umsatz Jahr 3</t>
        </is>
      </c>
      <c r="B21" s="5" t="n"/>
      <c r="C21" s="6" t="n"/>
      <c r="D21" s="20">
        <f>D20*D9</f>
        <v/>
      </c>
      <c r="E21" s="20">
        <f>E20*E9</f>
        <v/>
      </c>
      <c r="F21" s="20">
        <f>F20*F9</f>
        <v/>
      </c>
    </row>
    <row r="22" ht="20" customHeight="1">
      <c r="A22" s="8" t="inlineStr">
        <is>
          <t>Drei Jahre zusammen</t>
        </is>
      </c>
      <c r="B22" s="5" t="n"/>
      <c r="C22" s="6" t="n"/>
      <c r="D22" s="30">
        <f>D17+D19+D21</f>
        <v/>
      </c>
      <c r="E22" s="30">
        <f>E17+E19+E21</f>
        <v/>
      </c>
      <c r="F22" s="30">
        <f>F17+F19+F21</f>
        <v/>
      </c>
    </row>
    <row r="24" ht="58" customHeight="1">
      <c r="A24" s="14" t="inlineStr">
        <is>
          <t>FAZIT</t>
        </is>
      </c>
      <c r="B24" s="15" t="inlineStr">
        <is>
          <t>Bereits im realistischen Szenario sind CHF 470'000 über drei Jahre erreichbar — mit 11 Vereinen im Jahr 1. Das optimistische Szenario liegt bei CHF 1.1 Mio., ebenfalls ohne neue Entwicklung. Der Schlüssel: grosse Vereine ansprechen, nicht viele kleine. 20 Vereine im L-Paket bringen mehr als 200 Einzelcoaches.</t>
        </is>
      </c>
      <c r="C24" s="5" t="n"/>
      <c r="D24" s="5" t="n"/>
      <c r="E24" s="5" t="n"/>
      <c r="F24" s="6" t="n"/>
    </row>
    <row r="26">
      <c r="A26" s="23" t="inlineStr">
        <is>
          <t>Diagrammdaten</t>
        </is>
      </c>
    </row>
    <row r="27" ht="30" customHeight="1">
      <c r="A27" s="7" t="inlineStr"/>
      <c r="B27" s="7" t="inlineStr"/>
      <c r="C27" s="7" t="inlineStr"/>
      <c r="D27" s="7" t="inlineStr">
        <is>
          <t>Vorsichtig</t>
        </is>
      </c>
      <c r="E27" s="7" t="inlineStr">
        <is>
          <t>Realistisch</t>
        </is>
      </c>
      <c r="F27" s="7" t="inlineStr">
        <is>
          <t>Optimistisch</t>
        </is>
      </c>
    </row>
    <row r="28">
      <c r="A28" s="23" t="inlineStr">
        <is>
          <t>Jahr 1</t>
        </is>
      </c>
      <c r="D28" s="20">
        <f>D17</f>
        <v/>
      </c>
      <c r="E28" s="20">
        <f>E17</f>
        <v/>
      </c>
      <c r="F28" s="20">
        <f>F17</f>
        <v/>
      </c>
    </row>
    <row r="29">
      <c r="A29" s="23" t="inlineStr">
        <is>
          <t>Jahr 2</t>
        </is>
      </c>
      <c r="D29" s="20">
        <f>D19</f>
        <v/>
      </c>
      <c r="E29" s="20">
        <f>E19</f>
        <v/>
      </c>
      <c r="F29" s="20">
        <f>F19</f>
        <v/>
      </c>
    </row>
    <row r="30">
      <c r="A30" s="23" t="inlineStr">
        <is>
          <t>Jahr 3</t>
        </is>
      </c>
      <c r="D30" s="20">
        <f>D21</f>
        <v/>
      </c>
      <c r="E30" s="20">
        <f>E21</f>
        <v/>
      </c>
      <c r="F30" s="20">
        <f>F21</f>
        <v/>
      </c>
    </row>
  </sheetData>
  <mergeCells count="15">
    <mergeCell ref="A10:C10"/>
    <mergeCell ref="A19:C19"/>
    <mergeCell ref="A11:C11"/>
    <mergeCell ref="B24:F24"/>
    <mergeCell ref="A8:C8"/>
    <mergeCell ref="A6:C6"/>
    <mergeCell ref="A22:C22"/>
    <mergeCell ref="A17:C17"/>
    <mergeCell ref="A9:C9"/>
    <mergeCell ref="A18:C18"/>
    <mergeCell ref="A21:C21"/>
    <mergeCell ref="A12:C12"/>
    <mergeCell ref="A7:C7"/>
    <mergeCell ref="A20:C20"/>
    <mergeCell ref="A16:C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26" customWidth="1" min="1" max="1"/>
    <col width="16" customWidth="1" min="2" max="2"/>
    <col width="18" customWidth="1" min="3" max="3"/>
    <col width="30" customWidth="1" min="4" max="4"/>
    <col width="10" customWidth="1" min="5" max="5"/>
    <col width="20" customWidth="1" min="6" max="6"/>
    <col width="36" customWidth="1" min="7" max="7"/>
  </cols>
  <sheetData>
    <row r="1" ht="26" customHeight="1">
      <c r="A1" s="1" t="inlineStr">
        <is>
          <t>Markt</t>
        </is>
      </c>
    </row>
    <row r="2">
      <c r="A2" s="2" t="inlineStr">
        <is>
          <t>Grundlage ist die eigene Kontaktliste vom 28.07.2026 mit 414 Vereinen.</t>
        </is>
      </c>
    </row>
    <row r="4" ht="30" customHeight="1">
      <c r="A4" s="7" t="inlineStr">
        <is>
          <t>Sportart</t>
        </is>
      </c>
      <c r="B4" s="7" t="inlineStr">
        <is>
          <t>In unserer Liste</t>
        </is>
      </c>
      <c r="C4" s="7" t="inlineStr">
        <is>
          <t>Clubs in der Schweiz</t>
        </is>
      </c>
      <c r="D4" s="7" t="inlineStr">
        <is>
          <t>Saison</t>
        </is>
      </c>
      <c r="E4" s="7" t="inlineStr">
        <is>
          <t>Stufe</t>
        </is>
      </c>
      <c r="F4" s="7" t="inlineStr">
        <is>
          <t>Umsatz bei 100 %</t>
        </is>
      </c>
      <c r="G4" s="7" t="inlineStr">
        <is>
          <t>Warum in dieser Reihenfolge</t>
        </is>
      </c>
    </row>
    <row r="5" ht="46" customHeight="1">
      <c r="A5" s="8" t="inlineStr">
        <is>
          <t>Golf</t>
        </is>
      </c>
      <c r="B5" s="29" t="n">
        <v>103</v>
      </c>
      <c r="C5" s="29" t="n">
        <v>100</v>
      </c>
      <c r="D5" s="4" t="inlineStr">
        <is>
          <t>April bis Oktober</t>
        </is>
      </c>
      <c r="E5" s="19" t="inlineStr">
        <is>
          <t>S</t>
        </is>
      </c>
      <c r="F5" s="21">
        <f>B5*'2 Preise'!E8</f>
        <v/>
      </c>
      <c r="G5" s="4" t="inlineStr">
        <is>
          <t>Höchste Zahlungskraft: eigener Platz, Geschäftsführung, Marketingbudget. Typisches Club-Budget CHF 200'000+ — unser Einstiegspreis entspricht 0.8 % davon. Im Winter ruht der Betrieb.</t>
        </is>
      </c>
    </row>
    <row r="6" ht="46" customHeight="1">
      <c r="A6" s="8" t="inlineStr">
        <is>
          <t>Tennis</t>
        </is>
      </c>
      <c r="B6" s="29" t="n">
        <v>99</v>
      </c>
      <c r="C6" s="29" t="n">
        <v>900</v>
      </c>
      <c r="D6" s="4" t="inlineStr">
        <is>
          <t>Aussenplätze April bis Oktober, Halle ganzjährig</t>
        </is>
      </c>
      <c r="E6" s="19" t="inlineStr">
        <is>
          <t>M</t>
        </is>
      </c>
      <c r="F6" s="21">
        <f>B6*'2 Preise'!E9</f>
        <v/>
      </c>
      <c r="G6" s="4" t="inlineStr">
        <is>
          <t>Grösste Zahl an Clubs mit eigener Anlage und eigenen Trainern.</t>
        </is>
      </c>
    </row>
    <row r="7" ht="46" customHeight="1">
      <c r="A7" s="8" t="inlineStr">
        <is>
          <t>Schwimmen</t>
        </is>
      </c>
      <c r="B7" s="29" t="n">
        <v>180</v>
      </c>
      <c r="C7" s="29" t="n">
        <v>175</v>
      </c>
      <c r="D7" s="4" t="inlineStr">
        <is>
          <t>ganzjährig (Hallenbad)</t>
        </is>
      </c>
      <c r="E7" s="19" t="inlineStr">
        <is>
          <t>M</t>
        </is>
      </c>
      <c r="F7" s="21">
        <f>B7*'2 Preise'!E9</f>
        <v/>
      </c>
      <c r="G7" s="4" t="inlineStr">
        <is>
          <t>Laufendes Kursgeschäft ohne Saisonlücke; dort wird ohnehin nach Angeboten gesucht.</t>
        </is>
      </c>
    </row>
    <row r="8" ht="46" customHeight="1">
      <c r="A8" s="8" t="inlineStr">
        <is>
          <t>Reiten und Eishockey</t>
        </is>
      </c>
      <c r="B8" s="29" t="n">
        <v>32</v>
      </c>
      <c r="C8" s="29" t="n">
        <v>450</v>
      </c>
      <c r="D8" s="4" t="inlineStr">
        <is>
          <t>Eishockey September bis April, Reiten ganzjährig</t>
        </is>
      </c>
      <c r="E8" s="19" t="inlineStr">
        <is>
          <t>M</t>
        </is>
      </c>
      <c r="F8" s="21">
        <f>B8*'2 Preise'!E9</f>
        <v/>
      </c>
      <c r="G8" s="4" t="inlineStr">
        <is>
          <t>Eishockey füllt genau die Monate, in denen Golf stillsteht.</t>
        </is>
      </c>
    </row>
    <row r="9">
      <c r="A9" s="8" t="inlineStr">
        <is>
          <t>Total</t>
        </is>
      </c>
      <c r="B9" s="24">
        <f>SUM(B5:B8)</f>
        <v/>
      </c>
      <c r="C9" s="24">
        <f>SUM(C5:C8)</f>
        <v/>
      </c>
      <c r="D9" s="26" t="inlineStr"/>
      <c r="E9" s="26" t="inlineStr"/>
      <c r="F9" s="30">
        <f>SUM(F5:F8)</f>
        <v/>
      </c>
      <c r="G9" s="4" t="inlineStr">
        <is>
          <t>Obergrenze, wenn jeder Verein der Liste zahlt. Keine Planzahl.</t>
        </is>
      </c>
    </row>
    <row r="11" ht="58" customHeight="1">
      <c r="A11" s="14" t="inlineStr">
        <is>
          <t>FAZIT</t>
        </is>
      </c>
      <c r="B11" s="15" t="inlineStr">
        <is>
          <t>414 Vereine stehen bereits in der Liste — mit Telefon und Mailadresse, morgen anschreibbar. Wichtig: der Schweizer Durchschnittsverein hat ein Budget von CHF 65'000 — unsere Zielgruppe sind nicht diese Vereine. Golfclubs mit eigener Anlage kommen auf CHF 200'000+, Tennisclubs auf CHF 100'000–300'000. Das sind genau die Clubs in unserer Liste. Golf + Eishockey = zwölf Monate Aktivität. Das ist ein struktureller Vorteil gegenüber jedem Anbieter, der nur eine Sportart bedient.</t>
        </is>
      </c>
      <c r="C11" s="5" t="n"/>
      <c r="D11" s="5" t="n"/>
      <c r="E11" s="5" t="n"/>
      <c r="F11" s="5" t="n"/>
      <c r="G11" s="6" t="n"/>
    </row>
  </sheetData>
  <mergeCells count="1">
    <mergeCell ref="B11:G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30" customWidth="1" min="1" max="1"/>
    <col width="38" customWidth="1" min="2" max="2"/>
    <col width="62" customWidth="1" min="3" max="3"/>
    <col width="20" customWidth="1" min="4" max="4"/>
  </cols>
  <sheetData>
    <row r="1" ht="26" customHeight="1">
      <c r="A1" s="1" t="inlineStr">
        <is>
          <t>Herausforderungen und Lösungen</t>
        </is>
      </c>
    </row>
    <row r="2">
      <c r="A2" s="2" t="inlineStr">
        <is>
          <t>Zehn bekannte Stolpersteine im Vereinsgeschäft — mit konkreten Lösungen für jeden.</t>
        </is>
      </c>
    </row>
    <row r="4" ht="30" customHeight="1">
      <c r="A4" s="7" t="inlineStr">
        <is>
          <t>Thema</t>
        </is>
      </c>
      <c r="B4" s="7" t="inlineStr">
        <is>
          <t>Was man wissen muss</t>
        </is>
      </c>
      <c r="C4" s="7" t="inlineStr">
        <is>
          <t>Konkrete Massnahmen</t>
        </is>
      </c>
      <c r="D4" s="7" t="inlineStr">
        <is>
          <t>Ab wann relevant</t>
        </is>
      </c>
    </row>
    <row r="5" ht="104" customHeight="1">
      <c r="A5" s="13" t="inlineStr">
        <is>
          <t>Golf-Saison als Chance planen</t>
        </is>
      </c>
      <c r="B5" s="4" t="inlineStr">
        <is>
          <t>Golf läuft April bis Oktober — das ist bekannt und planbar. Wer den Vertrag auf die Saison abstimmt, liefert dem Club von Anfang an den richtigen Vergleich.</t>
        </is>
      </c>
      <c r="C5" s="31" t="inlineStr">
        <is>
          <t>→ Jahresvertrag: Erfolg wird über die Saison gemessen, nicht über den Monat.
→ Onboarding im Winter: Profile, Fotos und Kursplan sind parat, wenn die Saison startet.
→ Eishockey ergänzen: Saison läuft September bis April — zusammen ganzjährig aktiv.
→ Reporting pro Saison: zeigt das volle Bild statt einen einzelnen Wintermonat.</t>
        </is>
      </c>
      <c r="D5" s="4" t="inlineStr">
        <is>
          <t>ab Vertragsschluss</t>
        </is>
      </c>
    </row>
    <row r="6" ht="104" customHeight="1">
      <c r="A6" s="13" t="inlineStr">
        <is>
          <t>Vereinsentscheide richtig timen</t>
        </is>
      </c>
      <c r="B6" s="4" t="inlineStr">
        <is>
          <t>Vereinsvorstände tagen oft quartalsweise. Wer das weiss, kann den Verkaufsprozess darauf ausrichten und vermeidet unnötige Wartezeit.</t>
        </is>
      </c>
      <c r="C6" s="31" t="inlineStr">
        <is>
          <t>→ Direkt beim Geschäftsführer oder Sekretariat ansetzen — der kann meist ohne Vorstand entscheiden.
→ Preis unter der Genehmigungsschwelle des Vorstands wählen (oft CHF 5'000).
→ Kostenlose Testphase bis zur nächsten Generalversammlung anbieten.
→ Im Herbst verkaufen: Budgetfenster und Vereinsjahresbeginn fallen dann zusammen.</t>
        </is>
      </c>
      <c r="D6" s="4" t="inlineStr">
        <is>
          <t>ab dem ersten Gespräch</t>
        </is>
      </c>
    </row>
    <row r="7" ht="104" customHeight="1">
      <c r="A7" s="13" t="inlineStr">
        <is>
          <t>Zielgruppe scharf definieren</t>
        </is>
      </c>
      <c r="B7" s="4" t="inlineStr">
        <is>
          <t>82 % der Schweizer Vereine haben kein angestelltes Personal und ein Budget von CHF 65'000 im Schnitt. Die 18 % mit eigener Anlage — Golfclubs CHF 200'000+, Tennisclubs CHF 100'000–300'000 — sind dafür solide Kunden. Genau diese stehen in unserer Liste.</t>
        </is>
      </c>
      <c r="C7" s="31" t="inlineStr">
        <is>
          <t>→ Nur Vereine mit eigener Anlage ansprechen (Golf, Tennis, Schwimmen, Reiten, Eishockey).
→ Einstiegspaket S (3 Coaches, CHF 1'647/Jahr) = weniger als 1 % eines Golfclub-Budgets.
→ Zahlung aus dem Marketing- oder Sponsoring-Budget statt aus der Vereinskasse vorschlagen.
→ Per-Coach-Abrechnung: der Betrag wächst mit dem Verein mit, kein Schock durch eine Pauschale.
→ Kleine Vereine ohne Anlage via Einzelcoach-Angebot (CHF 399) bedienen, nicht via Paket.</t>
        </is>
      </c>
      <c r="D7" s="4" t="inlineStr">
        <is>
          <t>bei der Listenauswahl</t>
        </is>
      </c>
    </row>
    <row r="8" ht="104" customHeight="1">
      <c r="A8" s="13" t="inlineStr">
        <is>
          <t>Coaches aktiv einbinden</t>
        </is>
      </c>
      <c r="B8" s="4" t="inlineStr">
        <is>
          <t>Die Coaches sind der Kern der Plattform. Wenn sie wissen, was das Vereinspaket für sie bedeutet, werden sie es mittragen statt hinterfragen.</t>
        </is>
      </c>
      <c r="C8" s="31" t="inlineStr">
        <is>
          <t>→ Anfragen gehen direkt an den Coach — der Verein erhält nur eine Kopie (Blatt 6).
→ Profil bleibt beim Coach, auch wenn er den Verein verlässt.
→ Bewertungen und Referenzen gehören dem Coach, nicht dem Vereinskonto.
→ Coaches vor der Unterschrift des Vereins informieren, nicht danach.</t>
        </is>
      </c>
      <c r="D8" s="4" t="inlineStr">
        <is>
          <t>vor Vertragsschluss</t>
        </is>
      </c>
    </row>
    <row r="9" ht="104" customHeight="1">
      <c r="A9" s="13" t="inlineStr">
        <is>
          <t>Spielregeln für private Buchungen klären</t>
        </is>
      </c>
      <c r="B9" s="4" t="inlineStr">
        <is>
          <t>Manche Coaches bieten neben dem Vereinsangebot auch private Stunden an. Das ist legitim — solange es klar geregelt ist.</t>
        </is>
      </c>
      <c r="C9" s="31" t="inlineStr">
        <is>
          <t>→ Preisuntergrenze im Vertrag: Privatstunden liegen mindestens auf Vereinsniveau.
→ Zweites Privat-Profil nur mit schriftlicher Freigabe des Vereins.
→ Dashboard zeigt dem Verein alle Anfragen an seine Coaches transparent.
→ Zugangscode erlischt automatisch beim Vereinsaustritt des Coaches.</t>
        </is>
      </c>
      <c r="D9" s="4" t="inlineStr">
        <is>
          <t>ab erstem Monat</t>
        </is>
      </c>
    </row>
    <row r="10" ht="104" customHeight="1">
      <c r="A10" s="13" t="inlineStr">
        <is>
          <t>Mehrwert früh sichtbar machen</t>
        </is>
      </c>
      <c r="B10" s="4" t="inlineStr">
        <is>
          <t>Der Verein verlängert, wenn er sieht, was das Abo bringt. Monatliches Reporting macht den Nutzen greifbar — selbst in ruhigen Monaten.</t>
        </is>
      </c>
      <c r="C10" s="31" t="inlineStr">
        <is>
          <t>→ Erfolgskriterien (z. B. 2 Anfragen/Monat) vor der Unterschrift schriftlich festhalten.
→ Monatliches Reporting ab Tag 1 — auch wenn die Zahlen klein starten.
→ Erstes Jahr zum halben Preis gegen das Recht, den Verein als Referenz zu nennen.
→ Bei schwachen Zahlen aktiv nachbessern (mehr Sichtbarkeit, bessere Profile) statt abwarten.</t>
        </is>
      </c>
      <c r="D10" s="4" t="inlineStr">
        <is>
          <t>nach 3 Monaten</t>
        </is>
      </c>
    </row>
    <row r="11" ht="104" customHeight="1">
      <c r="A11" s="13" t="inlineStr">
        <is>
          <t>Kundenmix von Anfang an aufbauen</t>
        </is>
      </c>
      <c r="B11" s="4" t="inlineStr">
        <is>
          <t>Wenige grosse Vereine bringen viel Umsatz — das ist ein Vorteil, den man mit einem durchdachten Mix absichert.</t>
        </is>
      </c>
      <c r="C11" s="31" t="inlineStr">
        <is>
          <t>→ Kein Verein über 15 % des Vereinsumsatzes — Diversifikation schützt.
→ Einzelcoach-Geschäft parallel weiterführen: gibt Stabilität und neue Vereins-Leads.
→ Vertragsenden über das Jahr verteilen, nicht alle per 31. Dezember.
→ Mindestens zwei Sportarten im Kundenstamm: Golf + Eishockey = ganzjährige Aktivität.</t>
        </is>
      </c>
      <c r="D11" s="4" t="inlineStr">
        <is>
          <t>ab dem fünften Kunden</t>
        </is>
      </c>
    </row>
    <row r="12" ht="104" customHeight="1">
      <c r="A12" s="13" t="inlineStr">
        <is>
          <t>Grossverein-Onboarding skalierbar gestalten</t>
        </is>
      </c>
      <c r="B12" s="4" t="inlineStr">
        <is>
          <t>Ein Verein mit 30 Coaches ist beim ersten Mal aufwendig. Mit einem guten Prozess ist der zweite dreimal so schnell.</t>
        </is>
      </c>
      <c r="C12" s="31" t="inlineStr">
        <is>
          <t>→ Selbstregistrierung der Coaches über einen Vereinscode — kein manueller Import.
→ Einmalige Einrichtungsgebühr deckt den Erstaufwand, gibt dem Verein klare Erwartungen.
→ Einen Ansprechpartner im Verein benennen, der intern sammelt und nachfasst.
→ Zeitaufwand im Piloten messen und in den Standardprozess überführen.</t>
        </is>
      </c>
      <c r="D12" s="4" t="inlineStr">
        <is>
          <t>beim ersten Grossverein</t>
        </is>
      </c>
    </row>
    <row r="13" ht="104" customHeight="1">
      <c r="A13" s="13" t="inlineStr">
        <is>
          <t>Verbände als Partner gewinnen</t>
        </is>
      </c>
      <c r="B13" s="4" t="inlineStr">
        <is>
          <t>Swiss Tennis, Swiss Golf und Swiss Aquatics haben direkten Zugang zu allen Mitgliedsvereinen. Eine Partnerschaft öffnet Türen, die Einzelakquise nicht öffnet.</t>
        </is>
      </c>
      <c r="C13" s="31" t="inlineStr">
        <is>
          <t>→ Verband frühzeitig als Partner ansprechen statt abwarten.
→ Auf Buchung und Matching setzen — reine Vereinsverzeichnisse kann jeder Verband selbst bauen.
→ Erste Clubs in einer Region exklusiv einbinden — schafft Referenzen für den Verband.
→ Marke bei den Coaches aufbauen: die bleiben loyal, auch wenn Verbände wechseln.</t>
        </is>
      </c>
      <c r="D13" s="4" t="inlineStr">
        <is>
          <t>im ersten Jahr</t>
        </is>
      </c>
    </row>
    <row r="14" ht="104" customHeight="1">
      <c r="A14" s="13" t="inlineStr">
        <is>
          <t>Erstkontakt professionell gestalten</t>
        </is>
      </c>
      <c r="B14" s="4" t="inlineStr">
        <is>
          <t>414 Vereine stehen in der Liste — ein gezieltes, professionelles Anschreiben öffnet Türen. Qualität vor Quantität zahlt sich aus.</t>
        </is>
      </c>
      <c r="C14" s="31" t="inlineStr">
        <is>
          <t>→ Persönliche Anrede, Bezug auf Sportart und Vereinsgrösse — kein generisches Massen-Mail.
→ In Wellen von 50 versenden statt 414 auf einmal — so kann man auf Rückmeldungen reagieren.
→ Nach vier Tagen telefonisch nachfassen: viele Entscheider antworten lieber am Telefon.
→ Abmeldemöglichkeit sauber einbauen, Absender klar erkennbar — schützt die Absender-Reputation.</t>
        </is>
      </c>
      <c r="D14" s="4" t="inlineStr">
        <is>
          <t>ab Woche 3</t>
        </is>
      </c>
    </row>
    <row r="16" ht="58" customHeight="1">
      <c r="A16" s="14" t="inlineStr">
        <is>
          <t>FAZIT</t>
        </is>
      </c>
      <c r="B16" s="15" t="inlineStr">
        <is>
          <t>Alle zehn Punkte sind bekannt und lösbar — kein einziger erfordert neue Entwicklung. Saisonalität, Entscheidungszeit, Zielgruppe und Coach-Einbindung lassen sich mit Vertragsgestaltung und dem richtigen Erstkontakt regeln. Wer diese Liste kennt, ist vorbereitet — und der Pilot in 90 Tagen liefert die Zahlen, um es zu belegen.</t>
        </is>
      </c>
      <c r="C16" s="5" t="n"/>
      <c r="D16" s="6" t="n"/>
    </row>
  </sheetData>
  <mergeCells count="1">
    <mergeCell ref="B16:D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26" customWidth="1" min="1" max="1"/>
    <col width="34" customWidth="1" min="2" max="2"/>
    <col width="34" customWidth="1" min="3" max="3"/>
    <col width="26" customWidth="1" min="4" max="4"/>
  </cols>
  <sheetData>
    <row r="1" ht="26" customHeight="1">
      <c r="A1" s="1" t="inlineStr">
        <is>
          <t>Win-Win-Win</t>
        </is>
      </c>
    </row>
    <row r="2">
      <c r="A2" s="2" t="inlineStr">
        <is>
          <t>Verein, Coach und Coach Grid haben alle einen echten Anreiz — das Modell funktioniert für alle drei.</t>
        </is>
      </c>
    </row>
    <row r="4">
      <c r="A4" s="3" t="inlineStr">
        <is>
          <t>Geldfluss: Wer zahlt was an wen</t>
        </is>
      </c>
    </row>
    <row r="5" ht="30" customHeight="1">
      <c r="A5" s="7" t="inlineStr">
        <is>
          <t>Von</t>
        </is>
      </c>
      <c r="B5" s="7" t="inlineStr">
        <is>
          <t>An</t>
        </is>
      </c>
      <c r="C5" s="7" t="inlineStr">
        <is>
          <t>Betrag / Leistung</t>
        </is>
      </c>
      <c r="D5" s="7" t="inlineStr">
        <is>
          <t>Warum</t>
        </is>
      </c>
    </row>
    <row r="6" ht="70" customHeight="1">
      <c r="A6" s="18" t="inlineStr">
        <is>
          <t>Verein</t>
        </is>
      </c>
      <c r="B6" s="18" t="inlineStr">
        <is>
          <t>Coach Grid</t>
        </is>
      </c>
      <c r="C6" s="13" t="inlineStr">
        <is>
          <t>Jahreslizenz: CHF 1'647 bis ~CHF 15'000 (je nach Teamgrösse)</t>
        </is>
      </c>
      <c r="D6" s="4" t="inlineStr">
        <is>
          <t>Zahlt für Sichtbarkeit auf thecoachgrid.com. Ähnlich wie Werbung — Coaches erscheinen auf der Plattform, der Verein erhält alle Buchungseinnahmen.</t>
        </is>
      </c>
    </row>
    <row r="7" ht="70" customHeight="1">
      <c r="A7" s="18" t="inlineStr">
        <is>
          <t>Kunde</t>
        </is>
      </c>
      <c r="B7" s="18" t="inlineStr">
        <is>
          <t>Verein</t>
        </is>
      </c>
      <c r="C7" s="13" t="inlineStr">
        <is>
          <t>Buchungsbetrag für die Coaching-Einheit</t>
        </is>
      </c>
      <c r="D7" s="4" t="inlineStr">
        <is>
          <t>Buchungen laufen über den Verein. Der Coach liefert die Leistung, das Geld geht an den Verein. Verein behält die Kundenbeziehung vollständig.</t>
        </is>
      </c>
    </row>
    <row r="8" ht="70" customHeight="1">
      <c r="A8" s="18" t="inlineStr">
        <is>
          <t>Coach</t>
        </is>
      </c>
      <c r="B8" s="18" t="inlineStr">
        <is>
          <t>Verein</t>
        </is>
      </c>
      <c r="C8" s="13" t="inlineStr">
        <is>
          <t>% der Privatbuchungen (z. B. 10–20 %)</t>
        </is>
      </c>
      <c r="D8" s="4" t="inlineStr">
        <is>
          <t>Coach nimmt Privatkunden neben dem Vereinsangebot an. Er gibt einen Teil ab, spart aber die CHF 399 Einzelanmeldung — der Nettoeffekt bleibt positiv.</t>
        </is>
      </c>
    </row>
    <row r="10">
      <c r="A10" s="3" t="inlineStr">
        <is>
          <t>Was jede Partei gewinnt</t>
        </is>
      </c>
    </row>
    <row r="11" ht="30" customHeight="1">
      <c r="A11" s="7" t="inlineStr">
        <is>
          <t>Partei</t>
        </is>
      </c>
      <c r="B11" s="7" t="inlineStr">
        <is>
          <t>Gibt</t>
        </is>
      </c>
      <c r="C11" s="7" t="inlineStr">
        <is>
          <t>Bekommt</t>
        </is>
      </c>
      <c r="D11" s="7" t="inlineStr">
        <is>
          <t>Anreiz</t>
        </is>
      </c>
    </row>
    <row r="12" ht="66" customHeight="1">
      <c r="A12" s="32" t="inlineStr">
        <is>
          <t>Coach Grid  ✓ WIN</t>
        </is>
      </c>
      <c r="B12" s="4" t="inlineStr">
        <is>
          <t>Plattform und Sichtbarkeit für Coaches</t>
        </is>
      </c>
      <c r="C12" s="4" t="inlineStr">
        <is>
          <t>Jahreslizenz vom Verein</t>
        </is>
      </c>
      <c r="D12" s="4" t="inlineStr">
        <is>
          <t>Stabiler Umsatz pro Club-Vertrag. Ein Vereinsvertrag = 10× mehr als ein Einzelcoach.</t>
        </is>
      </c>
    </row>
    <row r="13" ht="66" customHeight="1">
      <c r="A13" s="32" t="inlineStr">
        <is>
          <t>Verein  ✓ WIN</t>
        </is>
      </c>
      <c r="B13" s="4" t="inlineStr">
        <is>
          <t>Jahreslizenz an Coach Grid</t>
        </is>
      </c>
      <c r="C13" s="4" t="inlineStr">
        <is>
          <t>Sichtbarkeit + alle Buchungseinnahmen + % aus Privatbuchungen der Coaches</t>
        </is>
      </c>
      <c r="D13" s="4" t="inlineStr">
        <is>
          <t>Je mehr Buchungen, desto schneller amortisiert sich die Lizenz. Direkter Anreiz, Coaches aktiv zu platzieren.</t>
        </is>
      </c>
    </row>
    <row r="14" ht="66" customHeight="1">
      <c r="A14" s="32" t="inlineStr">
        <is>
          <t>Coach  ✓ WIN</t>
        </is>
      </c>
      <c r="B14" s="4" t="inlineStr">
        <is>
          <t>% der Privateinnahmen an Verein</t>
        </is>
      </c>
      <c r="C14" s="4" t="inlineStr">
        <is>
          <t>Sichtbarkeit ohne CHF 399 Einzelabo; Buchungen über Verein abgedeckt</t>
        </is>
      </c>
      <c r="D14" s="4" t="inlineStr">
        <is>
          <t>Spart Registrierungskosten. Kann trotzdem privat buchen — der Anteil ist kleiner als CHF 399/Jahr.</t>
        </is>
      </c>
    </row>
    <row r="16">
      <c r="A16" s="3" t="inlineStr">
        <is>
          <t>Fragen, die im Gespräch kommen</t>
        </is>
      </c>
    </row>
    <row r="17" ht="30" customHeight="1">
      <c r="A17" s="7" t="inlineStr">
        <is>
          <t>Frage</t>
        </is>
      </c>
      <c r="B17" s="7" t="inlineStr">
        <is>
          <t>Antwort</t>
        </is>
      </c>
      <c r="C17" s="7" t="inlineStr">
        <is>
          <t>Im Vertrag geregelt durch</t>
        </is>
      </c>
      <c r="D17" s="7" t="inlineStr"/>
    </row>
    <row r="18" ht="56" customHeight="1">
      <c r="A18" s="13" t="inlineStr">
        <is>
          <t>Warum zahlt der Verein, wenn die Buchungseinnahmen ihm gehören?</t>
        </is>
      </c>
      <c r="B18" s="4" t="inlineStr">
        <is>
          <t>Er zahlt für die Plattform — wie Werbung. Buchungseinnahmen kommen on top. Bereits 10 Buchungen/Monat können die Jahreslizenz amortisieren.</t>
        </is>
      </c>
      <c r="C18" s="4" t="inlineStr">
        <is>
          <t>Klare Preisliste; Beispielrechnung Buchungseinnahmen vs. Lizenzkosten.</t>
        </is>
      </c>
      <c r="D18" s="6" t="n"/>
    </row>
    <row r="19" ht="56" customHeight="1">
      <c r="A19" s="13" t="inlineStr">
        <is>
          <t>Wie hoch ist der Anteil des Coaches bei Privatbuchungen?</t>
        </is>
      </c>
      <c r="B19" s="4" t="inlineStr">
        <is>
          <t>Zu verhandeln — 10–20 % ist ein realistischer Einstieg. Verein und Coach regeln das bilateral.</t>
        </is>
      </c>
      <c r="C19" s="4" t="inlineStr">
        <is>
          <t>Rahmenvertrag mit Coach Grid legt maximalen % fest.</t>
        </is>
      </c>
      <c r="D19" s="6" t="n"/>
    </row>
    <row r="20" ht="56" customHeight="1">
      <c r="A20" s="13" t="inlineStr">
        <is>
          <t>Was passiert, wenn ein Coach den Verein verlässt?</t>
        </is>
      </c>
      <c r="B20" s="4" t="inlineStr">
        <is>
          <t>Zugang wird deaktiviert. Der Verein zahlt nie für jemanden, der nicht mehr da ist.</t>
        </is>
      </c>
      <c r="C20" s="4" t="inlineStr">
        <is>
          <t>Deaktivierung innert fünf Werktagen, monatliche Abrechnung.</t>
        </is>
      </c>
      <c r="D20" s="6" t="n"/>
    </row>
    <row r="21" ht="56" customHeight="1">
      <c r="A21" s="13" t="inlineStr">
        <is>
          <t>Kann ein Coach gleichzeitig privat und über den Verein angemeldet sein?</t>
        </is>
      </c>
      <c r="B21" s="4" t="inlineStr">
        <is>
          <t>Nein — ein Coach, ein Profil. Über den Verein ist er günstiger als mit Einzelabo.</t>
        </is>
      </c>
      <c r="C21" s="4" t="inlineStr">
        <is>
          <t>Ein Coach = ein Profil. Kein Doppel-Listing.</t>
        </is>
      </c>
      <c r="D21" s="6" t="n"/>
    </row>
    <row r="23" ht="58" customHeight="1">
      <c r="A23" s="14" t="inlineStr">
        <is>
          <t>FAZIT</t>
        </is>
      </c>
      <c r="B23" s="15" t="inlineStr">
        <is>
          <t>Das Modell ist ein echtes Win-Win-Win: der Verein zahlt für Sichtbarkeit und erhält dafür alle Buchungseinnahmen zurück — direkter Anreiz, Coaches zu platzieren. Der Coach spart CHF 399 Einzelanmeldung und gibt bei Privatbuchungen nur einen kleinen Anteil ab. Coach Grid verdient stabil an der Jahreslizenz, ohne Provision auf jede Buchung zu brauchen.</t>
        </is>
      </c>
      <c r="C23" s="5" t="n"/>
      <c r="D23" s="6" t="n"/>
    </row>
  </sheetData>
  <mergeCells count="5">
    <mergeCell ref="C20:D20"/>
    <mergeCell ref="C21:D21"/>
    <mergeCell ref="B23:D23"/>
    <mergeCell ref="C19:D19"/>
    <mergeCell ref="C18:D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16" customWidth="1" min="1" max="1"/>
    <col width="30" customWidth="1" min="2" max="2"/>
    <col width="46" customWidth="1" min="3" max="3"/>
    <col width="22" customWidth="1" min="4" max="4"/>
    <col width="26" customWidth="1" min="5" max="5"/>
  </cols>
  <sheetData>
    <row r="1" ht="26" customHeight="1">
      <c r="A1" s="1" t="inlineStr">
        <is>
          <t>Fahrplan über 90 Tage</t>
        </is>
      </c>
    </row>
    <row r="2">
      <c r="A2" s="2" t="inlineStr">
        <is>
          <t>Nach drei Monaten steht die Entscheidung — auf Basis gemessener Zahlen.</t>
        </is>
      </c>
    </row>
    <row r="4" ht="30" customHeight="1">
      <c r="A4" s="7" t="inlineStr">
        <is>
          <t>Zeitraum</t>
        </is>
      </c>
      <c r="B4" s="7" t="inlineStr">
        <is>
          <t>Schritt</t>
        </is>
      </c>
      <c r="C4" s="7" t="inlineStr">
        <is>
          <t>Was passiert</t>
        </is>
      </c>
      <c r="D4" s="7" t="inlineStr">
        <is>
          <t>Wer</t>
        </is>
      </c>
      <c r="E4" s="7" t="inlineStr">
        <is>
          <t>Fertig, wenn</t>
        </is>
      </c>
    </row>
    <row r="5" ht="46" customHeight="1">
      <c r="A5" s="13" t="inlineStr">
        <is>
          <t>Woche 1–2</t>
        </is>
      </c>
      <c r="B5" s="4" t="inlineStr">
        <is>
          <t>Angebot fertigstellen</t>
        </is>
      </c>
      <c r="C5" s="4" t="inlineStr">
        <is>
          <t>Staffelpreise festlegen, Vertrag mit Zugangscodes und Preisuntergrenze aufsetzen, eine Seite für Vereine auf der Website.</t>
        </is>
      </c>
      <c r="D5" s="4" t="inlineStr">
        <is>
          <t>Robert und Navid</t>
        </is>
      </c>
      <c r="E5" s="4" t="inlineStr">
        <is>
          <t>Vertrag und Preisliste stehen</t>
        </is>
      </c>
    </row>
    <row r="6" ht="46" customHeight="1">
      <c r="A6" s="13" t="inlineStr">
        <is>
          <t>Woche 2</t>
        </is>
      </c>
      <c r="B6" s="4" t="inlineStr">
        <is>
          <t>Zielliste schneiden</t>
        </is>
      </c>
      <c r="C6" s="4" t="inlineStr">
        <is>
          <t>Aus den 414 Kontakten die 50 aussichtsreichsten ziehen: Golf und grosse Tennisclubs mit Mailadresse.</t>
        </is>
      </c>
      <c r="D6" s="4" t="inlineStr">
        <is>
          <t>Navid</t>
        </is>
      </c>
      <c r="E6" s="4" t="inlineStr">
        <is>
          <t>Liste mit 50 Vereinen steht</t>
        </is>
      </c>
    </row>
    <row r="7" ht="46" customHeight="1">
      <c r="A7" s="13" t="inlineStr">
        <is>
          <t>Woche 3–4</t>
        </is>
      </c>
      <c r="B7" s="4" t="inlineStr">
        <is>
          <t>Erste Welle</t>
        </is>
      </c>
      <c r="C7" s="4" t="inlineStr">
        <is>
          <t>50 Vereine anschreiben, nach vier Tagen telefonisch nachfassen.</t>
        </is>
      </c>
      <c r="D7" s="4" t="inlineStr">
        <is>
          <t>Navid</t>
        </is>
      </c>
      <c r="E7" s="4" t="inlineStr">
        <is>
          <t>50 angeschrieben und nachgefasst</t>
        </is>
      </c>
    </row>
    <row r="8" ht="46" customHeight="1">
      <c r="A8" s="13" t="inlineStr">
        <is>
          <t>Woche 5–8</t>
        </is>
      </c>
      <c r="B8" s="4" t="inlineStr">
        <is>
          <t>Gespräche führen</t>
        </is>
      </c>
      <c r="C8" s="4" t="inlineStr">
        <is>
          <t>Termine wahrnehmen, Blatt 2 und 6 als Gesprächsgrundlage nutzen.</t>
        </is>
      </c>
      <c r="D8" s="4" t="inlineStr">
        <is>
          <t>Robert</t>
        </is>
      </c>
      <c r="E8" s="4" t="inlineStr">
        <is>
          <t>mindestens acht Termine</t>
        </is>
      </c>
    </row>
    <row r="9" ht="46" customHeight="1">
      <c r="A9" s="13" t="inlineStr">
        <is>
          <t>Woche 6–10</t>
        </is>
      </c>
      <c r="B9" s="4" t="inlineStr">
        <is>
          <t>Drei Pilotkunden gewinnen</t>
        </is>
      </c>
      <c r="C9" s="4" t="inlineStr">
        <is>
          <t>Erstes Jahr zum halben Preis gegen das Recht, den Verein als Referenz zu nennen.</t>
        </is>
      </c>
      <c r="D9" s="4" t="inlineStr">
        <is>
          <t>Robert und Navid</t>
        </is>
      </c>
      <c r="E9" s="4" t="inlineStr">
        <is>
          <t>drei unterschriebene Verträge</t>
        </is>
      </c>
    </row>
    <row r="10" ht="46" customHeight="1">
      <c r="A10" s="13" t="inlineStr">
        <is>
          <t>Woche 9–12</t>
        </is>
      </c>
      <c r="B10" s="4" t="inlineStr">
        <is>
          <t>Belegen und entscheiden</t>
        </is>
      </c>
      <c r="C10" s="4" t="inlineStr">
        <is>
          <t>Anfragen pro Pilotverein messen, Fallstudie schreiben, Preis fixieren oder Modell verwerfen.</t>
        </is>
      </c>
      <c r="D10" s="4" t="inlineStr">
        <is>
          <t>Navid</t>
        </is>
      </c>
      <c r="E10" s="4" t="inlineStr">
        <is>
          <t>Fallstudie liegt vor</t>
        </is>
      </c>
    </row>
    <row r="12">
      <c r="A12" s="3" t="inlineStr">
        <is>
          <t>Klare Entscheidungsgrundlage nach 90 Tagen</t>
        </is>
      </c>
    </row>
    <row r="13" ht="30" customHeight="1">
      <c r="A13" s="7" t="inlineStr">
        <is>
          <t>Kennzahl</t>
        </is>
      </c>
      <c r="B13" s="7" t="inlineStr">
        <is>
          <t>Zielwert — Pilot gilt als Erfolg</t>
        </is>
      </c>
      <c r="C13" s="7" t="inlineStr"/>
      <c r="D13" s="7" t="inlineStr"/>
      <c r="E13" s="7" t="inlineStr"/>
    </row>
    <row r="14">
      <c r="A14" s="26" t="inlineStr">
        <is>
          <t>Antworten auf 50 Anschreiben</t>
        </is>
      </c>
      <c r="B14" s="33" t="inlineStr">
        <is>
          <t>ab 6 Antworten (12 %)</t>
        </is>
      </c>
      <c r="C14" s="5" t="n"/>
      <c r="D14" s="5" t="n"/>
      <c r="E14" s="6" t="n"/>
    </row>
    <row r="15">
      <c r="A15" s="26" t="inlineStr">
        <is>
          <t>Abschlüsse nach 10 Gesprächen</t>
        </is>
      </c>
      <c r="B15" s="33" t="inlineStr">
        <is>
          <t>ab 1 Abschluss</t>
        </is>
      </c>
      <c r="C15" s="5" t="n"/>
      <c r="D15" s="5" t="n"/>
      <c r="E15" s="6" t="n"/>
    </row>
    <row r="16">
      <c r="A16" s="26" t="inlineStr">
        <is>
          <t>Anfragen pro Pilotverein und Monat</t>
        </is>
      </c>
      <c r="B16" s="33" t="inlineStr">
        <is>
          <t>ab 2 Anfragen</t>
        </is>
      </c>
      <c r="C16" s="5" t="n"/>
      <c r="D16" s="5" t="n"/>
      <c r="E16" s="6" t="n"/>
    </row>
    <row r="18" ht="58" customHeight="1">
      <c r="A18" s="14" t="inlineStr">
        <is>
          <t>FAZIT</t>
        </is>
      </c>
      <c r="B18" s="15" t="inlineStr">
        <is>
          <t>Der Pilot kostet drei Monate und keine Entwicklung — nur Zeit und 50 E-Mails. Er liefert Antwortquote, Abschlussquote, Anfragen pro Verein und Zahlungsbereitschaft: genau die Zahlen, die heute noch Annahmen sind. Nach 90 Tagen steht die Entscheidung auf Basis echter Daten — und nicht auf Basis von Schätzungen.</t>
        </is>
      </c>
      <c r="C18" s="5" t="n"/>
      <c r="D18" s="5" t="n"/>
      <c r="E18" s="6" t="n"/>
    </row>
  </sheetData>
  <mergeCells count="4">
    <mergeCell ref="B15:E15"/>
    <mergeCell ref="B18:E18"/>
    <mergeCell ref="B14:E14"/>
    <mergeCell ref="B16:E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9"/>
  <sheetViews>
    <sheetView showGridLines="0" workbookViewId="0">
      <selection activeCell="A1" sqref="A1"/>
    </sheetView>
  </sheetViews>
  <sheetFormatPr baseColWidth="8" defaultRowHeight="15"/>
  <cols>
    <col width="44" customWidth="1" min="1" max="1"/>
    <col width="26" customWidth="1" min="2" max="2"/>
    <col width="20" customWidth="1" min="3" max="3"/>
    <col width="44" customWidth="1" min="4" max="4"/>
  </cols>
  <sheetData>
    <row r="1" ht="26" customHeight="1">
      <c r="A1" s="1" t="inlineStr">
        <is>
          <t>Zahlen und Quellen</t>
        </is>
      </c>
    </row>
    <row r="2">
      <c r="A2" s="2" t="inlineStr">
        <is>
          <t>Getrennt nach belegten Zahlen und Eingaben, die im Pilot gemessen werden.</t>
        </is>
      </c>
    </row>
    <row r="4">
      <c r="A4" s="3" t="inlineStr">
        <is>
          <t>Belegte Zahlen</t>
        </is>
      </c>
    </row>
    <row r="5" ht="30" customHeight="1">
      <c r="A5" s="7" t="inlineStr">
        <is>
          <t>Zahl</t>
        </is>
      </c>
      <c r="B5" s="7" t="inlineStr">
        <is>
          <t>Wert</t>
        </is>
      </c>
      <c r="C5" s="7" t="inlineStr">
        <is>
          <t>Art</t>
        </is>
      </c>
      <c r="D5" s="7" t="inlineStr">
        <is>
          <t>Quelle</t>
        </is>
      </c>
    </row>
    <row r="6" ht="24" customHeight="1">
      <c r="A6" s="4" t="inlineStr">
        <is>
          <t>Sportvereine in der Schweiz</t>
        </is>
      </c>
      <c r="B6" s="13" t="inlineStr">
        <is>
          <t>18'310</t>
        </is>
      </c>
      <c r="C6" s="34" t="inlineStr">
        <is>
          <t>belegt</t>
        </is>
      </c>
      <c r="D6" s="4" t="inlineStr">
        <is>
          <t>Vereinsstudie 2022, Swiss Olympic</t>
        </is>
      </c>
    </row>
    <row r="7" ht="24" customHeight="1">
      <c r="A7" s="4" t="inlineStr">
        <is>
          <t>Mitgliedschaften in Sportvereinen</t>
        </is>
      </c>
      <c r="B7" s="13" t="inlineStr">
        <is>
          <t>2'200'000</t>
        </is>
      </c>
      <c r="C7" s="34" t="inlineStr">
        <is>
          <t>belegt</t>
        </is>
      </c>
      <c r="D7" s="4" t="inlineStr">
        <is>
          <t>Vereinsstudie 2022, Swiss Olympic</t>
        </is>
      </c>
    </row>
    <row r="8" ht="24" customHeight="1">
      <c r="A8" s="4" t="inlineStr">
        <is>
          <t>Durchschnittliche Jahreseinnahmen eines Vereins</t>
        </is>
      </c>
      <c r="B8" s="13" t="inlineStr">
        <is>
          <t>CHF 69'000</t>
        </is>
      </c>
      <c r="C8" s="34" t="inlineStr">
        <is>
          <t>belegt</t>
        </is>
      </c>
      <c r="D8" s="4" t="inlineStr">
        <is>
          <t>Observatorium Sport und Bewegung Schweiz</t>
        </is>
      </c>
    </row>
    <row r="9" ht="24" customHeight="1">
      <c r="A9" s="4" t="inlineStr">
        <is>
          <t>Vereine ohne bezahlte Mitarbeitende</t>
        </is>
      </c>
      <c r="B9" s="13" t="inlineStr">
        <is>
          <t>82 %</t>
        </is>
      </c>
      <c r="C9" s="34" t="inlineStr">
        <is>
          <t>belegt</t>
        </is>
      </c>
      <c r="D9" s="4" t="inlineStr">
        <is>
          <t>Vereinsstudie 2022, Swiss Olympic</t>
        </is>
      </c>
    </row>
    <row r="10" ht="24" customHeight="1">
      <c r="A10" s="4" t="inlineStr">
        <is>
          <t>Vereine mit existenzbedrohendem Problem</t>
        </is>
      </c>
      <c r="B10" s="13" t="inlineStr">
        <is>
          <t>41 %</t>
        </is>
      </c>
      <c r="C10" s="34" t="inlineStr">
        <is>
          <t>belegt</t>
        </is>
      </c>
      <c r="D10" s="4" t="inlineStr">
        <is>
          <t>Vereinsstudie 2022, Swiss Olympic</t>
        </is>
      </c>
    </row>
    <row r="11" ht="24" customHeight="1">
      <c r="A11" s="4" t="inlineStr">
        <is>
          <t>Tennisclubs in der Schweiz</t>
        </is>
      </c>
      <c r="B11" s="13" t="inlineStr">
        <is>
          <t>rund 900</t>
        </is>
      </c>
      <c r="C11" s="34" t="inlineStr">
        <is>
          <t>belegt</t>
        </is>
      </c>
      <c r="D11" s="4" t="inlineStr">
        <is>
          <t>Swiss Tennis</t>
        </is>
      </c>
    </row>
    <row r="12" ht="24" customHeight="1">
      <c r="A12" s="4" t="inlineStr">
        <is>
          <t>Golfclubs in der Schweiz</t>
        </is>
      </c>
      <c r="B12" s="13" t="inlineStr">
        <is>
          <t>über 90</t>
        </is>
      </c>
      <c r="C12" s="34" t="inlineStr">
        <is>
          <t>belegt</t>
        </is>
      </c>
      <c r="D12" s="4" t="inlineStr">
        <is>
          <t>Swiss PGA</t>
        </is>
      </c>
    </row>
    <row r="13" ht="24" customHeight="1">
      <c r="A13" s="4" t="inlineStr">
        <is>
          <t>Schwimmvereine in der Schweiz</t>
        </is>
      </c>
      <c r="B13" s="13" t="inlineStr">
        <is>
          <t>175</t>
        </is>
      </c>
      <c r="C13" s="34" t="inlineStr">
        <is>
          <t>belegt</t>
        </is>
      </c>
      <c r="D13" s="4" t="inlineStr">
        <is>
          <t>Swiss Aquatics, Mitgliedvereine</t>
        </is>
      </c>
    </row>
    <row r="14" ht="24" customHeight="1">
      <c r="A14" s="4" t="inlineStr">
        <is>
          <t>Fussballvereine in der Schweiz</t>
        </is>
      </c>
      <c r="B14" s="13" t="inlineStr">
        <is>
          <t>1'345</t>
        </is>
      </c>
      <c r="C14" s="34" t="inlineStr">
        <is>
          <t>belegt</t>
        </is>
      </c>
      <c r="D14" s="4" t="inlineStr">
        <is>
          <t>Schweizerischer Fussballverband</t>
        </is>
      </c>
    </row>
    <row r="15" ht="24" customHeight="1">
      <c r="A15" s="4" t="inlineStr">
        <is>
          <t>Erwachsene in einem Sportverein</t>
        </is>
      </c>
      <c r="B15" s="13" t="inlineStr">
        <is>
          <t>22 %</t>
        </is>
      </c>
      <c r="C15" s="34" t="inlineStr">
        <is>
          <t>belegt</t>
        </is>
      </c>
      <c r="D15" s="4" t="inlineStr">
        <is>
          <t>Sport Schweiz 2020, BASPO</t>
        </is>
      </c>
    </row>
    <row r="16" ht="24" customHeight="1">
      <c r="A16" s="4" t="inlineStr">
        <is>
          <t>Kinder von 10 bis 14 in einem Sportverein</t>
        </is>
      </c>
      <c r="B16" s="13" t="inlineStr">
        <is>
          <t>67 %</t>
        </is>
      </c>
      <c r="C16" s="34" t="inlineStr">
        <is>
          <t>belegt</t>
        </is>
      </c>
      <c r="D16" s="4" t="inlineStr">
        <is>
          <t>Sport Schweiz 2020, BASPO</t>
        </is>
      </c>
    </row>
    <row r="17" ht="24" customHeight="1">
      <c r="A17" s="4" t="inlineStr">
        <is>
          <t>Saison National League Eishockey</t>
        </is>
      </c>
      <c r="B17" s="13" t="inlineStr">
        <is>
          <t>September bis April</t>
        </is>
      </c>
      <c r="C17" s="34" t="inlineStr">
        <is>
          <t>belegt</t>
        </is>
      </c>
      <c r="D17" s="4" t="inlineStr">
        <is>
          <t>Spielplan National League: Qualifikation September bis März, Playoffs bis April</t>
        </is>
      </c>
    </row>
    <row r="18" ht="24" customHeight="1">
      <c r="A18" s="4" t="inlineStr">
        <is>
          <t>Saison Golfplätze Schweiz</t>
        </is>
      </c>
      <c r="B18" s="13" t="inlineStr">
        <is>
          <t>April bis Oktober</t>
        </is>
      </c>
      <c r="C18" s="34" t="inlineStr">
        <is>
          <t>belegt</t>
        </is>
      </c>
      <c r="D18" s="4" t="inlineStr">
        <is>
          <t>Saisonzeiten der Golfplätze, Graubünden Ferien. Je nach Höhenlage kürzer</t>
        </is>
      </c>
    </row>
    <row r="19" ht="24" customHeight="1">
      <c r="A19" s="4" t="inlineStr">
        <is>
          <t>Kontaktierbare Vereine in unserer Liste</t>
        </is>
      </c>
      <c r="B19" s="13" t="inlineStr">
        <is>
          <t>414</t>
        </is>
      </c>
      <c r="C19" s="34" t="inlineStr">
        <is>
          <t>eigene Erhebung</t>
        </is>
      </c>
      <c r="D19" s="4" t="inlineStr">
        <is>
          <t>Eigene Liste vom 28.07.2026: Golf 103, Tennis 99, Schwimmen 180, Reiten und Eishockey 32</t>
        </is>
      </c>
    </row>
    <row r="21">
      <c r="A21" s="3" t="inlineStr">
        <is>
          <t>Eingaben, die im Pilot gemessen werden</t>
        </is>
      </c>
    </row>
    <row r="22" ht="30" customHeight="1">
      <c r="A22" s="7" t="inlineStr">
        <is>
          <t>Eingabe</t>
        </is>
      </c>
      <c r="B22" s="7" t="inlineStr">
        <is>
          <t>Im Modell</t>
        </is>
      </c>
      <c r="C22" s="7" t="inlineStr">
        <is>
          <t>Art</t>
        </is>
      </c>
      <c r="D22" s="7" t="inlineStr">
        <is>
          <t>Wird gemessen durch</t>
        </is>
      </c>
    </row>
    <row r="23" ht="24" customHeight="1">
      <c r="A23" s="4" t="inlineStr">
        <is>
          <t>Preis pro Coach und Jahr</t>
        </is>
      </c>
      <c r="B23" s="13" t="inlineStr">
        <is>
          <t>CHF 399</t>
        </is>
      </c>
      <c r="C23" s="35" t="inlineStr">
        <is>
          <t>Eingabe</t>
        </is>
      </c>
      <c r="D23" s="4" t="inlineStr">
        <is>
          <t>Bereits im Einsatz, auf Blatt 2 änderbar</t>
        </is>
      </c>
    </row>
    <row r="24" ht="24" customHeight="1">
      <c r="A24" s="4" t="inlineStr">
        <is>
          <t>Antwortquote auf ein Anschreiben</t>
        </is>
      </c>
      <c r="B24" s="13" t="inlineStr">
        <is>
          <t>12 / 20 / 30 %</t>
        </is>
      </c>
      <c r="C24" s="35" t="inlineStr">
        <is>
          <t>Eingabe</t>
        </is>
      </c>
      <c r="D24" s="4" t="inlineStr">
        <is>
          <t>Erste Welle an 50 Vereine, Woche 3–4</t>
        </is>
      </c>
    </row>
    <row r="25" ht="24" customHeight="1">
      <c r="A25" s="4" t="inlineStr">
        <is>
          <t>Anteil, der Kunde wird</t>
        </is>
      </c>
      <c r="B25" s="13" t="inlineStr">
        <is>
          <t>8 / 15 / 25 %</t>
        </is>
      </c>
      <c r="C25" s="35" t="inlineStr">
        <is>
          <t>Eingabe</t>
        </is>
      </c>
      <c r="D25" s="4" t="inlineStr">
        <is>
          <t>Gespräche in Woche 5–8</t>
        </is>
      </c>
    </row>
    <row r="26" ht="24" customHeight="1">
      <c r="A26" s="4" t="inlineStr">
        <is>
          <t>Verlängerung im Folgejahr</t>
        </is>
      </c>
      <c r="B26" s="13" t="inlineStr">
        <is>
          <t>75 / 85 / 90 %</t>
        </is>
      </c>
      <c r="C26" s="35" t="inlineStr">
        <is>
          <t>Eingabe</t>
        </is>
      </c>
      <c r="D26" s="4" t="inlineStr">
        <is>
          <t>Erst nach zwölf Monaten messbar</t>
        </is>
      </c>
    </row>
    <row r="27" ht="24" customHeight="1">
      <c r="A27" s="4" t="inlineStr">
        <is>
          <t>Coaches pro Verein</t>
        </is>
      </c>
      <c r="B27" s="13" t="inlineStr">
        <is>
          <t>10 bis 40</t>
        </is>
      </c>
      <c r="C27" s="35" t="inlineStr">
        <is>
          <t>Eingabe</t>
        </is>
      </c>
      <c r="D27" s="4" t="inlineStr">
        <is>
          <t>Wird im Erstgespräch erfasst</t>
        </is>
      </c>
    </row>
    <row r="29">
      <c r="A29" s="3" t="inlineStr">
        <is>
          <t>Quellen</t>
        </is>
      </c>
    </row>
    <row r="30">
      <c r="A30" s="36" t="inlineStr">
        <is>
          <t>Vereinsstudie 2022, Swiss Olympic</t>
        </is>
      </c>
      <c r="B30" s="37" t="inlineStr">
        <is>
          <t>https://www.swissolympic.ch/dam/jcr:e13bfb8d-92a6-41a3-89e4-b80d30c2d23c/Vereinsstudie%202022_DE_Web.pdf</t>
        </is>
      </c>
    </row>
    <row r="31">
      <c r="A31" s="36" t="inlineStr">
        <is>
          <t>Observatorium Sport und Bewegung Schweiz</t>
        </is>
      </c>
      <c r="B31" s="37" t="inlineStr">
        <is>
          <t>https://www.sportobs.ch/inhalte/Indikatoren_PDF_neu/Ind_22_Sportobs.pdf</t>
        </is>
      </c>
    </row>
    <row r="32">
      <c r="A32" s="36" t="inlineStr">
        <is>
          <t>Sport Schweiz 2020, BASPO</t>
        </is>
      </c>
      <c r="B32" s="37" t="inlineStr">
        <is>
          <t>https://www.sportobs.ch/inhalte/Downloads/Bro_Sport_Schweiz_2020_d_WEB.pdf</t>
        </is>
      </c>
    </row>
    <row r="33">
      <c r="A33" s="36" t="inlineStr">
        <is>
          <t>Swiss Aquatics, Mitgliedvereine</t>
        </is>
      </c>
      <c r="B33" s="37" t="inlineStr">
        <is>
          <t>https://www.swiss-aquatics.ch/verband/mitglieder/alle-mitgliedvereine/</t>
        </is>
      </c>
    </row>
    <row r="34">
      <c r="A34" s="36" t="inlineStr">
        <is>
          <t>Swiss Tennis</t>
        </is>
      </c>
      <c r="B34" s="37" t="inlineStr">
        <is>
          <t>https://www.swisstennis.ch/de/</t>
        </is>
      </c>
    </row>
    <row r="35">
      <c r="A35" s="36" t="inlineStr">
        <is>
          <t>Swiss Golf</t>
        </is>
      </c>
      <c r="B35" s="37" t="inlineStr">
        <is>
          <t>https://www.swissgolf.ch/</t>
        </is>
      </c>
    </row>
    <row r="36">
      <c r="A36" s="36" t="inlineStr">
        <is>
          <t>Saisonzeiten Golfplätze, Graubünden Ferien</t>
        </is>
      </c>
      <c r="B36" s="37" t="inlineStr">
        <is>
          <t>https://www.graubuenden.ch/de/news/saisonzeiten-golfplaetze</t>
        </is>
      </c>
    </row>
    <row r="37">
      <c r="A37" s="36" t="inlineStr">
        <is>
          <t>Spielplan National League</t>
        </is>
      </c>
      <c r="B37" s="37" t="inlineStr">
        <is>
          <t>https://www.sihf.ch/</t>
        </is>
      </c>
    </row>
    <row r="39" ht="58" customHeight="1">
      <c r="A39" s="14" t="inlineStr">
        <is>
          <t>FAZIT</t>
        </is>
      </c>
      <c r="B39" s="15" t="inlineStr">
        <is>
          <t>Dreizehn Marktzahlen sind belegt und verlinkt, eine stammt aus der eigenen Erhebung. Fünf Werte sind Eingaben — sie treiben das Ergebnis und werden im 90-Tage-Pilot durch gemessene Zahlen ersetzt. Bis dahin ist jedes Umsatzszenario eine Rechnung, keine Prognose.</t>
        </is>
      </c>
      <c r="C39" s="5" t="n"/>
      <c r="D39" s="6" t="n"/>
    </row>
  </sheetData>
  <mergeCells count="9">
    <mergeCell ref="B33:D33"/>
    <mergeCell ref="B36:D36"/>
    <mergeCell ref="B37:D37"/>
    <mergeCell ref="B31:D31"/>
    <mergeCell ref="B32:D32"/>
    <mergeCell ref="B35:D35"/>
    <mergeCell ref="B30:D30"/>
    <mergeCell ref="B39:D39"/>
    <mergeCell ref="B34:D34"/>
  </mergeCells>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2026-08-06T16:01:38Z</dcterms:created>
  <dcterms:modified xsi:type="dcterms:W3CDTF">2026-08-06T16:01:38Z</dcterms:modified>
</cp:coreProperties>
</file>