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Zusammenfassung" sheetId="1" state="visible" r:id="rId1"/>
    <sheet name="2 Preismodell" sheetId="2" state="visible" r:id="rId2"/>
    <sheet name="3 Zielmarkt" sheetId="3" state="visible" r:id="rId3"/>
    <sheet name="4 Szenarien" sheetId="4" state="visible" r:id="rId4"/>
    <sheet name="5 Sensitivität" sheetId="5" state="visible" r:id="rId5"/>
    <sheet name="6 Konflikt &amp; Lösung" sheetId="6" state="visible" r:id="rId6"/>
    <sheet name="7 Fahrplan 90 Tage" sheetId="7" state="visible" r:id="rId7"/>
    <sheet name="8 Annahmen &amp; Quellen" sheetId="8" state="visible" r:id="rId8"/>
  </sheets>
  <definedNames/>
  <calcPr calcId="124519" fullCalcOnLoad="1"/>
</workbook>
</file>

<file path=xl/styles.xml><?xml version="1.0" encoding="utf-8"?>
<styleSheet xmlns="http://schemas.openxmlformats.org/spreadsheetml/2006/main">
  <numFmts count="4">
    <numFmt numFmtId="164" formatCode="&quot;CHF&quot; #,##0"/>
    <numFmt numFmtId="165" formatCode="&quot;CHF&quot; #,##0;(&quot;CHF&quot; #,##0);-"/>
    <numFmt numFmtId="166" formatCode="0.00x"/>
    <numFmt numFmtId="167" formatCode="0.0%"/>
  </numFmts>
  <fonts count="9">
    <font>
      <name val="Calibri"/>
      <family val="2"/>
      <color theme="1"/>
      <sz val="11"/>
      <scheme val="minor"/>
    </font>
    <font>
      <name val="Arial"/>
      <b val="1"/>
      <color rgb="0016302A"/>
      <sz val="16"/>
    </font>
    <font>
      <name val="Arial"/>
      <i val="1"/>
      <color rgb="0055635E"/>
      <sz val="10"/>
    </font>
    <font>
      <name val="Arial"/>
      <b val="1"/>
      <color rgb="0016302A"/>
      <sz val="12"/>
    </font>
    <font>
      <name val="Arial"/>
      <sz val="10"/>
    </font>
    <font>
      <name val="Arial"/>
      <b val="1"/>
      <color rgb="00FFFFFF"/>
      <sz val="10"/>
    </font>
    <font>
      <name val="Arial"/>
      <b val="1"/>
      <sz val="10"/>
    </font>
    <font>
      <name val="Arial"/>
      <color rgb="000000FF"/>
      <sz val="10"/>
    </font>
    <font>
      <name val="Arial"/>
      <color rgb="000F6F5C"/>
      <sz val="10"/>
      <u val="single"/>
    </font>
  </fonts>
  <fills count="8">
    <fill>
      <patternFill/>
    </fill>
    <fill>
      <patternFill patternType="gray125"/>
    </fill>
    <fill>
      <patternFill patternType="solid">
        <fgColor rgb="0016302A"/>
      </patternFill>
    </fill>
    <fill>
      <patternFill patternType="solid">
        <fgColor rgb="00D6ECD9"/>
      </patternFill>
    </fill>
    <fill>
      <patternFill patternType="solid">
        <fgColor rgb="00FFF2A8"/>
      </patternFill>
    </fill>
    <fill>
      <patternFill patternType="solid">
        <fgColor rgb="00F7D4CF"/>
      </patternFill>
    </fill>
    <fill>
      <patternFill patternType="solid">
        <fgColor rgb="00FBE7C0"/>
      </patternFill>
    </fill>
    <fill>
      <patternFill patternType="solid">
        <fgColor rgb="00EFF3F1"/>
      </patternFill>
    </fill>
  </fills>
  <borders count="6">
    <border>
      <left/>
      <right/>
      <top/>
      <bottom/>
      <diagonal/>
    </border>
    <border>
      <left style="thin">
        <color rgb="00C9D2CE"/>
      </left>
      <right style="thin">
        <color rgb="00C9D2CE"/>
      </right>
      <top style="thin">
        <color rgb="00C9D2CE"/>
      </top>
      <bottom style="thin">
        <color rgb="00C9D2CE"/>
      </bottom>
    </border>
    <border>
      <left/>
      <right/>
      <top style="thin">
        <color rgb="00C9D2CE"/>
      </top>
      <bottom/>
      <diagonal/>
    </border>
    <border>
      <left/>
      <right style="thin">
        <color rgb="00C9D2CE"/>
      </right>
      <top style="thin">
        <color rgb="00C9D2CE"/>
      </top>
      <bottom/>
      <diagonal/>
    </border>
    <border>
      <left/>
      <right/>
      <top style="thin">
        <color rgb="00C9D2CE"/>
      </top>
      <bottom style="thin">
        <color rgb="00C9D2CE"/>
      </bottom>
      <diagonal/>
    </border>
    <border>
      <left/>
      <right style="thin">
        <color rgb="00C9D2CE"/>
      </right>
      <top style="thin">
        <color rgb="00C9D2CE"/>
      </top>
      <bottom style="thin">
        <color rgb="00C9D2CE"/>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xf>
    <xf numFmtId="3" fontId="4" fillId="0" borderId="1" applyAlignment="1" pivotButton="0" quotePrefix="0" xfId="0">
      <alignment vertical="top"/>
    </xf>
    <xf numFmtId="164" fontId="4" fillId="0" borderId="1" applyAlignment="1" pivotButton="0" quotePrefix="0" xfId="0">
      <alignment vertical="top"/>
    </xf>
    <xf numFmtId="164" fontId="6" fillId="3" borderId="1" applyAlignment="1" pivotButton="0" quotePrefix="0" xfId="0">
      <alignment vertical="top"/>
    </xf>
    <xf numFmtId="0" fontId="4" fillId="0" borderId="1" applyAlignment="1" pivotButton="0" quotePrefix="0" xfId="0">
      <alignment vertical="top"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vertical="top"/>
    </xf>
    <xf numFmtId="164" fontId="7" fillId="4" borderId="1" applyAlignment="1" pivotButton="0" quotePrefix="0" xfId="0">
      <alignment vertical="top"/>
    </xf>
    <xf numFmtId="0" fontId="2" fillId="0" borderId="0" applyAlignment="1" pivotButton="0" quotePrefix="0" xfId="0">
      <alignment vertical="top"/>
    </xf>
    <xf numFmtId="3" fontId="7" fillId="4" borderId="1" applyAlignment="1" pivotButton="0" quotePrefix="0" xfId="0">
      <alignment vertical="top"/>
    </xf>
    <xf numFmtId="9" fontId="4" fillId="0" borderId="1" applyAlignment="1" pivotButton="0" quotePrefix="0" xfId="0">
      <alignment vertical="top"/>
    </xf>
    <xf numFmtId="164" fontId="6" fillId="0" borderId="1" applyAlignment="1" pivotButton="0" quotePrefix="0" xfId="0">
      <alignment vertical="top"/>
    </xf>
    <xf numFmtId="165" fontId="4" fillId="0" borderId="1" applyAlignment="1" pivotButton="0" quotePrefix="0" xfId="0">
      <alignment vertical="top"/>
    </xf>
    <xf numFmtId="166" fontId="4" fillId="0"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0" fontId="6" fillId="3" borderId="1" applyAlignment="1" pivotButton="0" quotePrefix="0" xfId="0">
      <alignment vertical="top"/>
    </xf>
    <xf numFmtId="0" fontId="4" fillId="0" borderId="1" applyAlignment="1" pivotButton="0" quotePrefix="0" xfId="0">
      <alignment vertical="top"/>
    </xf>
    <xf numFmtId="3" fontId="6" fillId="0" borderId="1" applyAlignment="1" pivotButton="0" quotePrefix="0" xfId="0">
      <alignment vertical="top"/>
    </xf>
    <xf numFmtId="167" fontId="4" fillId="0" borderId="1" applyAlignment="1" pivotButton="0" quotePrefix="0" xfId="0">
      <alignment vertical="top"/>
    </xf>
    <xf numFmtId="9" fontId="7" fillId="4" borderId="1" applyAlignment="1" pivotButton="0" quotePrefix="0" xfId="0">
      <alignment vertical="top"/>
    </xf>
    <xf numFmtId="0" fontId="3" fillId="0" borderId="0" applyAlignment="1" pivotButton="0" quotePrefix="0" xfId="0">
      <alignment vertical="top"/>
    </xf>
    <xf numFmtId="0" fontId="5" fillId="2" borderId="1" applyAlignment="1" pivotButton="0" quotePrefix="0" xfId="0">
      <alignment vertical="top"/>
    </xf>
    <xf numFmtId="164" fontId="5" fillId="2" borderId="1" applyAlignment="1" pivotButton="0" quotePrefix="0" xfId="0">
      <alignment vertical="top"/>
    </xf>
    <xf numFmtId="3" fontId="5" fillId="2" borderId="1" applyAlignment="1" pivotButton="0" quotePrefix="0" xfId="0">
      <alignment vertical="top"/>
    </xf>
    <xf numFmtId="164" fontId="4" fillId="7" borderId="1" applyAlignment="1" pivotButton="0" quotePrefix="0" xfId="0">
      <alignment vertical="top"/>
    </xf>
    <xf numFmtId="164" fontId="4" fillId="6" borderId="1" applyAlignment="1" pivotButton="0" quotePrefix="0" xfId="0">
      <alignment vertical="top"/>
    </xf>
    <xf numFmtId="164" fontId="4" fillId="3" borderId="1" applyAlignment="1" pivotButton="0" quotePrefix="0" xfId="0">
      <alignment vertical="top"/>
    </xf>
    <xf numFmtId="0" fontId="6" fillId="5" borderId="1" applyAlignment="1" pivotButton="0" quotePrefix="0" xfId="0">
      <alignment vertical="top" wrapText="1"/>
    </xf>
    <xf numFmtId="0" fontId="6" fillId="6" borderId="1" applyAlignment="1" pivotButton="0" quotePrefix="0" xfId="0">
      <alignment vertical="top" wrapText="1"/>
    </xf>
    <xf numFmtId="0" fontId="6" fillId="3" borderId="1" applyAlignment="1" pivotButton="0" quotePrefix="0" xfId="0">
      <alignment vertical="top" wrapText="1"/>
    </xf>
    <xf numFmtId="0" fontId="4" fillId="3" borderId="1" applyAlignment="1" pivotButton="0" quotePrefix="0" xfId="0">
      <alignment vertical="top" wrapText="1"/>
    </xf>
    <xf numFmtId="0" fontId="4" fillId="7" borderId="1" applyAlignment="1" pivotButton="0" quotePrefix="0" xfId="0">
      <alignment vertical="top" wrapText="1"/>
    </xf>
    <xf numFmtId="0" fontId="4" fillId="6" borderId="1" applyAlignment="1" pivotButton="0" quotePrefix="0" xfId="0">
      <alignment vertical="top" wrapText="1"/>
    </xf>
    <xf numFmtId="0" fontId="4" fillId="0" borderId="0" applyAlignment="1" pivotButton="0" quotePrefix="0" xfId="0">
      <alignment vertical="top"/>
    </xf>
    <xf numFmtId="0" fontId="8"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Vereinspreis gegen Summe der Einzelanmeldungen</a:t>
            </a:r>
          </a:p>
        </rich>
      </tx>
    </title>
    <plotArea>
      <barChart>
        <barDir val="col"/>
        <grouping val="clustered"/>
        <ser>
          <idx val="0"/>
          <order val="0"/>
          <tx>
            <strRef>
              <f>'2 Preismodell'!B15</f>
            </strRef>
          </tx>
          <spPr>
            <a:ln>
              <a:prstDash val="solid"/>
            </a:ln>
          </spPr>
          <cat>
            <numRef>
              <f>'2 Preismodell'!$A$16:$A$23</f>
            </numRef>
          </cat>
          <val>
            <numRef>
              <f>'2 Preismodell'!$B$16:$B$23</f>
            </numRef>
          </val>
        </ser>
        <ser>
          <idx val="1"/>
          <order val="1"/>
          <tx>
            <strRef>
              <f>'2 Preismodell'!C15</f>
            </strRef>
          </tx>
          <spPr>
            <a:ln>
              <a:prstDash val="solid"/>
            </a:ln>
          </spPr>
          <cat>
            <numRef>
              <f>'2 Preismodell'!$A$16:$A$23</f>
            </numRef>
          </cat>
          <val>
            <numRef>
              <f>'2 Preismodell'!$C$16:$C$23</f>
            </numRef>
          </val>
        </ser>
        <gapWidth val="150"/>
        <axId val="10"/>
        <axId val="100"/>
      </barChart>
      <catAx>
        <axId val="10"/>
        <scaling>
          <orientation val="minMax"/>
        </scaling>
        <axPos val="l"/>
        <title>
          <tx>
            <rich>
              <a:bodyPr/>
              <a:p>
                <a:pPr>
                  <a:defRPr/>
                </a:pPr>
                <a:r>
                  <a:t>Anzahl Coaches im Verein</a:t>
                </a:r>
              </a:p>
            </rich>
          </tx>
        </title>
        <majorTickMark val="none"/>
        <minorTickMark val="none"/>
        <crossAx val="100"/>
        <lblOffset val="100"/>
      </catAx>
      <valAx>
        <axId val="100"/>
        <scaling>
          <orientation val="minMax"/>
        </scaling>
        <axPos val="l"/>
        <majorGridlines/>
        <title>
          <tx>
            <rich>
              <a:bodyPr/>
              <a:p>
                <a:pPr>
                  <a:defRPr/>
                </a:pPr>
                <a:r>
                  <a:t>CHF pro Jahr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Kontaktierbare Vereine nach Sportart</a:t>
            </a:r>
          </a:p>
        </rich>
      </tx>
    </title>
    <plotArea>
      <barChart>
        <barDir val="col"/>
        <grouping val="clustered"/>
        <ser>
          <idx val="0"/>
          <order val="0"/>
          <tx>
            <strRef>
              <f>'3 Zielmarkt'!B4</f>
            </strRef>
          </tx>
          <spPr>
            <a:ln>
              <a:prstDash val="solid"/>
            </a:ln>
          </spPr>
          <cat>
            <numRef>
              <f>'3 Zielmarkt'!$A$5:$A$8</f>
            </numRef>
          </cat>
          <val>
            <numRef>
              <f>'3 Zielmarkt'!$B$5:$B$8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Anzahl Vereine</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Wiederkehrender Umsatz (ARR) je Szenario</a:t>
            </a:r>
          </a:p>
        </rich>
      </tx>
    </title>
    <plotArea>
      <barChart>
        <barDir val="col"/>
        <grouping val="clustered"/>
        <ser>
          <idx val="0"/>
          <order val="0"/>
          <tx>
            <strRef>
              <f>'4 Szenarien'!D30</f>
            </strRef>
          </tx>
          <spPr>
            <a:ln>
              <a:prstDash val="solid"/>
            </a:ln>
          </spPr>
          <cat>
            <numRef>
              <f>'4 Szenarien'!$A$31:$A$33</f>
            </numRef>
          </cat>
          <val>
            <numRef>
              <f>'4 Szenarien'!$D$31:$D$33</f>
            </numRef>
          </val>
        </ser>
        <ser>
          <idx val="1"/>
          <order val="1"/>
          <tx>
            <strRef>
              <f>'4 Szenarien'!E30</f>
            </strRef>
          </tx>
          <spPr>
            <a:ln>
              <a:prstDash val="solid"/>
            </a:ln>
          </spPr>
          <cat>
            <numRef>
              <f>'4 Szenarien'!$A$31:$A$33</f>
            </numRef>
          </cat>
          <val>
            <numRef>
              <f>'4 Szenarien'!$E$31:$E$33</f>
            </numRef>
          </val>
        </ser>
        <ser>
          <idx val="2"/>
          <order val="2"/>
          <tx>
            <strRef>
              <f>'4 Szenarien'!F30</f>
            </strRef>
          </tx>
          <spPr>
            <a:ln>
              <a:prstDash val="solid"/>
            </a:ln>
          </spPr>
          <cat>
            <numRef>
              <f>'4 Szenarien'!$A$31:$A$33</f>
            </numRef>
          </cat>
          <val>
            <numRef>
              <f>'4 Szenarien'!$F$31:$F$33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CHF</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720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hyperlink" Target="https://www.swissolympic.ch/dam/jcr:e13bfb8d-92a6-41a3-89e4-b80d30c2d23c/Vereinsstudie%202022_DE_Web.pdf" TargetMode="External" Id="rId1" /><Relationship Type="http://schemas.openxmlformats.org/officeDocument/2006/relationships/hyperlink" Target="https://www.sportobs.ch/inhalte/Indikatoren_PDF_neu/Ind_22_Sportobs.pdf" TargetMode="External" Id="rId2" /><Relationship Type="http://schemas.openxmlformats.org/officeDocument/2006/relationships/hyperlink" Target="https://www.swiss-aquatics.ch/verband/mitglieder/alle-mitgliedvereine/" TargetMode="External" Id="rId3" /><Relationship Type="http://schemas.openxmlformats.org/officeDocument/2006/relationships/hyperlink" Target="https://www.swisstennis.ch/de/" TargetMode="External" Id="rId4" /><Relationship Type="http://schemas.openxmlformats.org/officeDocument/2006/relationships/hyperlink" Target="https://www.swissgolf.ch/" TargetMode="External" Id="rId5" /></Relationships>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46" customWidth="1" min="6" max="6"/>
  </cols>
  <sheetData>
    <row r="1">
      <c r="A1" s="1" t="inlineStr">
        <is>
          <t>Vereine als zweites Standbein</t>
        </is>
      </c>
    </row>
    <row r="2">
      <c r="A2" s="2" t="inlineStr">
        <is>
          <t>Coach Grid · Entscheidungsgrundlage · Stand 29.07.2026. Blau = Eingabe, alles andere rechnet sich daraus.</t>
        </is>
      </c>
    </row>
    <row r="4">
      <c r="A4" s="3" t="inlineStr">
        <is>
          <t>Die Idee in drei Sätzen</t>
        </is>
      </c>
    </row>
    <row r="5" ht="16" customHeight="1">
      <c r="A5" s="4" t="inlineStr">
        <is>
          <t>Heute verkaufen wir einzeln: ein Coach zahlt CHF 399 im Jahr. Ein Verein hat 10–40 Coaches auf einen Schlag.</t>
        </is>
      </c>
    </row>
    <row r="6" ht="16" customHeight="1">
      <c r="A6" s="4" t="inlineStr">
        <is>
          <t>Wir verkaufen dem Verein ein Paket für alle seine Coaches — ein Vertrag, eine Rechnung, ein Ansprechpartner.</t>
        </is>
      </c>
    </row>
    <row r="7" ht="16" customHeight="1">
      <c r="A7" s="4" t="inlineStr">
        <is>
          <t>Der Verein bekommt Sichtbarkeit und ein Dashboard; die Anfrage geht weiterhin an den Coach. Die Plattform bleibt eine Coach-Plattform.</t>
        </is>
      </c>
    </row>
    <row r="9">
      <c r="A9" s="3" t="inlineStr">
        <is>
          <t>Was dabei herausschaut (3 Jahre kumuliert)</t>
        </is>
      </c>
    </row>
    <row r="10" ht="28" customHeight="1">
      <c r="A10" s="5" t="inlineStr">
        <is>
          <t>Szenario</t>
        </is>
      </c>
      <c r="B10" s="5" t="inlineStr">
        <is>
          <t>Neukunden J1</t>
        </is>
      </c>
      <c r="C10" s="5" t="inlineStr">
        <is>
          <t>ARR Jahr 1</t>
        </is>
      </c>
      <c r="D10" s="5" t="inlineStr">
        <is>
          <t>ARR Jahr 3</t>
        </is>
      </c>
      <c r="E10" s="5" t="inlineStr">
        <is>
          <t>Kumuliert 3 Jahre</t>
        </is>
      </c>
      <c r="F10" s="5" t="inlineStr">
        <is>
          <t>Was dafür wahr sein muss</t>
        </is>
      </c>
    </row>
    <row r="11" ht="30" customHeight="1">
      <c r="A11" s="6" t="inlineStr">
        <is>
          <t>Vorsichtig</t>
        </is>
      </c>
      <c r="B11" s="7">
        <f>'4 Szenarien'!D6</f>
        <v/>
      </c>
      <c r="C11" s="8">
        <f>'4 Szenarien'!D16</f>
        <v/>
      </c>
      <c r="D11" s="8">
        <f>'4 Szenarien'!D20</f>
        <v/>
      </c>
      <c r="E11" s="9">
        <f>'4 Szenarien'!D21</f>
        <v/>
      </c>
      <c r="F11" s="10" t="inlineStr">
        <is>
          <t>Wir schreiben die Liste an, wenige antworten, wir landen kleine Vereine.</t>
        </is>
      </c>
    </row>
    <row r="12" ht="30" customHeight="1">
      <c r="A12" s="6" t="inlineStr">
        <is>
          <t>Realistisch</t>
        </is>
      </c>
      <c r="B12" s="7">
        <f>'4 Szenarien'!E6</f>
        <v/>
      </c>
      <c r="C12" s="8">
        <f>'4 Szenarien'!E16</f>
        <v/>
      </c>
      <c r="D12" s="8">
        <f>'4 Szenarien'!E20</f>
        <v/>
      </c>
      <c r="E12" s="9">
        <f>'4 Szenarien'!E21</f>
        <v/>
      </c>
      <c r="F12" s="10" t="inlineStr">
        <is>
          <t>Warme Ansprache statt Kaltmail, Fokus auf Golf und grosse Tennisclubs, 2 Referenzkunden.</t>
        </is>
      </c>
    </row>
    <row r="13" ht="30" customHeight="1">
      <c r="A13" s="6" t="inlineStr">
        <is>
          <t>Optimistisch</t>
        </is>
      </c>
      <c r="B13" s="7">
        <f>'4 Szenarien'!F6</f>
        <v/>
      </c>
      <c r="C13" s="8">
        <f>'4 Szenarien'!F16</f>
        <v/>
      </c>
      <c r="D13" s="8">
        <f>'4 Szenarien'!F20</f>
        <v/>
      </c>
      <c r="E13" s="9">
        <f>'4 Szenarien'!F21</f>
        <v/>
      </c>
      <c r="F13" s="10" t="inlineStr">
        <is>
          <t>Ein Verband oder ein Referenzclub öffnet die Tür, Empfehlungen tragen den Rest.</t>
        </is>
      </c>
    </row>
    <row r="15">
      <c r="A15" s="3" t="inlineStr">
        <is>
          <t>Die drei Punkte, die vor dem ersten Anruf entschieden sein müssen</t>
        </is>
      </c>
    </row>
    <row r="16" ht="28" customHeight="1">
      <c r="A16" s="5" t="inlineStr">
        <is>
          <t>Nr.</t>
        </is>
      </c>
      <c r="B16" s="5" t="inlineStr">
        <is>
          <t>Befund</t>
        </is>
      </c>
      <c r="C16" s="5" t="inlineStr"/>
      <c r="D16" s="5" t="inlineStr"/>
      <c r="E16" s="5" t="inlineStr"/>
      <c r="F16" s="5" t="inlineStr">
        <is>
          <t>Begründung</t>
        </is>
      </c>
    </row>
    <row r="17" ht="58" customHeight="1">
      <c r="A17" s="11" t="inlineStr">
        <is>
          <t>1</t>
        </is>
      </c>
      <c r="B17" s="12" t="inlineStr">
        <is>
          <t>Der 10k-Preis kippt unter 25 Coaches</t>
        </is>
      </c>
      <c r="C17" s="13" t="n"/>
      <c r="D17" s="13" t="n"/>
      <c r="E17" s="14" t="n"/>
      <c r="F17" s="10" t="inlineStr">
        <is>
          <t>CHF 10'000 geteilt durch CHF 399 sind 25 Coaches. Ein Verein mit 15 Coaches zahlt beim 10k-Deal das 1.7-fache dessen, was seine Coaches einzeln zahlen würden — das rechnet der erste Vereinspräsident in dreissig Sekunden nach. Darum Staffelpreise nach Coach-Zahl (Blatt 2).</t>
        </is>
      </c>
    </row>
    <row r="18" ht="58" customHeight="1">
      <c r="A18" s="11" t="inlineStr">
        <is>
          <t>2</t>
        </is>
      </c>
      <c r="B18" s="12" t="inlineStr">
        <is>
          <t>Wenige grosse Vereine schlagen viele kleine</t>
        </is>
      </c>
      <c r="C18" s="13" t="n"/>
      <c r="D18" s="13" t="n"/>
      <c r="E18" s="14" t="n"/>
      <c r="F18" s="10" t="inlineStr">
        <is>
          <t>20 grosse Vereine à CHF 9'900 bringen gleich viel wie 200 kleine à CHF 1'000 — bei einem Zehntel Vertriebsaufwand und einem Zehntel Support. Zuerst Golf, grosse Tennisclubs und Eishockey.</t>
        </is>
      </c>
    </row>
    <row r="19" ht="58" customHeight="1">
      <c r="A19" s="11" t="inlineStr">
        <is>
          <t>3</t>
        </is>
      </c>
      <c r="B19" s="12" t="inlineStr">
        <is>
          <t>Die Anfrage muss beim Coach landen</t>
        </is>
      </c>
      <c r="C19" s="13" t="n"/>
      <c r="D19" s="13" t="n"/>
      <c r="E19" s="14" t="n"/>
      <c r="F19" s="10" t="inlineStr">
        <is>
          <t>Leiten wir Anfragen an die Vereinsadresse um, wird aus einer Coach-Plattform ein Vereinsverzeichnis. Der Verein bekommt Sichtbarkeit, Dashboard und Kopie jeder Anfrage — die Anfrage selbst geht an den Coach. Details und Vertragsklauseln auf Blatt 6.</t>
        </is>
      </c>
    </row>
    <row r="21">
      <c r="A21" s="3" t="inlineStr">
        <is>
          <t>Empfehlung</t>
        </is>
      </c>
    </row>
    <row r="22" ht="34" customHeight="1">
      <c r="A22" s="4" t="inlineStr">
        <is>
          <t>Pilot mit 50 Vereinen aus der bestehenden Kontaktliste (Golf und grosse Tennisclubs zuerst), Staffelpreis statt Einheitspreis, drei Referenzkunden zu Sonderkonditionen, Anfrage bleibt beim Coach. Entscheidung nach 90 Tagen anhand der Abschlussquote — Fahrplan auf Blatt 7.</t>
        </is>
      </c>
    </row>
  </sheetData>
  <mergeCells count="7">
    <mergeCell ref="B17:E17"/>
    <mergeCell ref="B18:E18"/>
    <mergeCell ref="A5:F5"/>
    <mergeCell ref="A6:F6"/>
    <mergeCell ref="A22:F22"/>
    <mergeCell ref="B19:E1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5" customWidth="1" min="5" max="5"/>
    <col width="15" customWidth="1" min="6" max="6"/>
    <col width="15" customWidth="1" min="7" max="7"/>
    <col width="34" customWidth="1" min="8" max="8"/>
  </cols>
  <sheetData>
    <row r="1">
      <c r="A1" s="1" t="inlineStr">
        <is>
          <t>Preismodell</t>
        </is>
      </c>
    </row>
    <row r="2">
      <c r="A2" s="2" t="inlineStr">
        <is>
          <t>Der Vereinspreis muss unter der Summe der Einzelpreise liegen — sonst ist er nicht verhandelbar.</t>
        </is>
      </c>
    </row>
    <row r="4">
      <c r="A4" s="15" t="inlineStr">
        <is>
          <t>Heutiger Einzelpreis pro Coach und Jahr</t>
        </is>
      </c>
      <c r="B4" s="16" t="n">
        <v>399</v>
      </c>
      <c r="C4" s="17" t="inlineStr">
        <is>
          <t>← Eingabe</t>
        </is>
      </c>
    </row>
    <row r="6">
      <c r="A6" s="3" t="inlineStr">
        <is>
          <t>Staffelpreise nach Anzahl Coaches</t>
        </is>
      </c>
    </row>
    <row r="7" ht="28" customHeight="1">
      <c r="A7" s="5" t="inlineStr">
        <is>
          <t>Stufe</t>
        </is>
      </c>
      <c r="B7" s="5" t="inlineStr">
        <is>
          <t>Coaches ab</t>
        </is>
      </c>
      <c r="C7" s="5" t="inlineStr">
        <is>
          <t>Coaches bis</t>
        </is>
      </c>
      <c r="D7" s="5" t="inlineStr">
        <is>
          <t>Jahrespreis</t>
        </is>
      </c>
      <c r="E7" s="5" t="inlineStr">
        <is>
          <t>Preis pro Coach</t>
        </is>
      </c>
      <c r="F7" s="5" t="inlineStr">
        <is>
          <t>Rabatt vs. Einzel</t>
        </is>
      </c>
      <c r="G7" s="5" t="inlineStr">
        <is>
          <t>Monatspreis</t>
        </is>
      </c>
      <c r="H7" s="5" t="inlineStr">
        <is>
          <t>Ersparnis bei Jahreszahlung</t>
        </is>
      </c>
    </row>
    <row r="8">
      <c r="A8" s="6" t="inlineStr">
        <is>
          <t>S – kleiner Verein</t>
        </is>
      </c>
      <c r="B8" s="18" t="n">
        <v>1</v>
      </c>
      <c r="C8" s="18" t="n">
        <v>10</v>
      </c>
      <c r="D8" s="16" t="n">
        <v>2490</v>
      </c>
      <c r="E8" s="8">
        <f>D8/((B8+C8)/2)</f>
        <v/>
      </c>
      <c r="F8" s="19">
        <f>E8/$B$4-1</f>
        <v/>
      </c>
      <c r="G8" s="16" t="n">
        <v>249</v>
      </c>
      <c r="H8" s="20">
        <f>G8*12-D8</f>
        <v/>
      </c>
    </row>
    <row r="9">
      <c r="A9" s="6" t="inlineStr">
        <is>
          <t>M – mittlerer Verein</t>
        </is>
      </c>
      <c r="B9" s="18" t="n">
        <v>11</v>
      </c>
      <c r="C9" s="18" t="n">
        <v>25</v>
      </c>
      <c r="D9" s="16" t="n">
        <v>4900</v>
      </c>
      <c r="E9" s="8">
        <f>D9/((B9+C9)/2)</f>
        <v/>
      </c>
      <c r="F9" s="19">
        <f>E9/$B$4-1</f>
        <v/>
      </c>
      <c r="G9" s="16" t="n">
        <v>490</v>
      </c>
      <c r="H9" s="20">
        <f>G9*12-D9</f>
        <v/>
      </c>
    </row>
    <row r="10">
      <c r="A10" s="6" t="inlineStr">
        <is>
          <t>L – grosser Verein</t>
        </is>
      </c>
      <c r="B10" s="18" t="n">
        <v>26</v>
      </c>
      <c r="C10" s="18" t="n">
        <v>40</v>
      </c>
      <c r="D10" s="16" t="n">
        <v>9900</v>
      </c>
      <c r="E10" s="8">
        <f>D10/((B10+C10)/2)</f>
        <v/>
      </c>
      <c r="F10" s="19">
        <f>E10/$B$4-1</f>
        <v/>
      </c>
      <c r="G10" s="16" t="n">
        <v>990</v>
      </c>
      <c r="H10" s="20">
        <f>G10*12-D10</f>
        <v/>
      </c>
    </row>
    <row r="11">
      <c r="A11" s="6" t="inlineStr">
        <is>
          <t>XL – Grossverein</t>
        </is>
      </c>
      <c r="B11" s="18" t="n">
        <v>41</v>
      </c>
      <c r="C11" s="18" t="n">
        <v>80</v>
      </c>
      <c r="D11" s="16" t="n">
        <v>14900</v>
      </c>
      <c r="E11" s="8">
        <f>D11/((B11+C11)/2)</f>
        <v/>
      </c>
      <c r="F11" s="19">
        <f>E11/$B$4-1</f>
        <v/>
      </c>
      <c r="G11" s="16" t="n">
        <v>1490</v>
      </c>
      <c r="H11" s="20">
        <f>G11*12-D11</f>
        <v/>
      </c>
    </row>
    <row r="12" ht="30" customHeight="1">
      <c r="A12" s="4" t="inlineStr">
        <is>
          <t>Der Monatspreis ist bewusst höher gerechnet: wer jährlich zahlt, spart sichtbar. Beim grossen Verein sind das CHF 1'980 — genau die Logik «CHF 990 im Monat oder CHF 9'900 im Jahr».</t>
        </is>
      </c>
    </row>
    <row r="14">
      <c r="A14" s="3" t="inlineStr">
        <is>
          <t>Gegenprobe: Vereinspreis gegen die Summe der Einzelanmeldungen</t>
        </is>
      </c>
    </row>
    <row r="15" ht="28" customHeight="1">
      <c r="A15" s="5" t="inlineStr">
        <is>
          <t>Coaches im Verein</t>
        </is>
      </c>
      <c r="B15" s="5" t="inlineStr">
        <is>
          <t>Summe Einzelpreise</t>
        </is>
      </c>
      <c r="C15" s="5" t="inlineStr">
        <is>
          <t>Vereinspreis L (10k-Idee)</t>
        </is>
      </c>
      <c r="D15" s="5" t="inlineStr">
        <is>
          <t>Differenz für den Verein</t>
        </is>
      </c>
      <c r="E15" s="5" t="inlineStr">
        <is>
          <t>Verhältnis</t>
        </is>
      </c>
      <c r="F15" s="5" t="inlineStr">
        <is>
          <t>Urteil</t>
        </is>
      </c>
      <c r="G15" s="5" t="inlineStr"/>
      <c r="H15" s="5" t="inlineStr"/>
    </row>
    <row r="16">
      <c r="A16" s="18" t="n">
        <v>5</v>
      </c>
      <c r="B16" s="8">
        <f>A16*$B$4</f>
        <v/>
      </c>
      <c r="C16" s="8">
        <f>$D$10</f>
        <v/>
      </c>
      <c r="D16" s="21">
        <f>C16-B16</f>
        <v/>
      </c>
      <c r="E16" s="22">
        <f>C16/B16</f>
        <v/>
      </c>
      <c r="F16" s="23" t="inlineStr">
        <is>
          <t>Verein zahlt drauf</t>
        </is>
      </c>
    </row>
    <row r="17">
      <c r="A17" s="18" t="n">
        <v>10</v>
      </c>
      <c r="B17" s="8">
        <f>A17*$B$4</f>
        <v/>
      </c>
      <c r="C17" s="8">
        <f>$D$10</f>
        <v/>
      </c>
      <c r="D17" s="21">
        <f>C17-B17</f>
        <v/>
      </c>
      <c r="E17" s="22">
        <f>C17/B17</f>
        <v/>
      </c>
      <c r="F17" s="23" t="inlineStr">
        <is>
          <t>Verein zahlt drauf</t>
        </is>
      </c>
    </row>
    <row r="18">
      <c r="A18" s="18" t="n">
        <v>15</v>
      </c>
      <c r="B18" s="8">
        <f>A18*$B$4</f>
        <v/>
      </c>
      <c r="C18" s="8">
        <f>$D$10</f>
        <v/>
      </c>
      <c r="D18" s="21">
        <f>C18-B18</f>
        <v/>
      </c>
      <c r="E18" s="22">
        <f>C18/B18</f>
        <v/>
      </c>
      <c r="F18" s="23" t="inlineStr">
        <is>
          <t>Verein zahlt drauf</t>
        </is>
      </c>
    </row>
    <row r="19">
      <c r="A19" s="18" t="n">
        <v>20</v>
      </c>
      <c r="B19" s="8">
        <f>A19*$B$4</f>
        <v/>
      </c>
      <c r="C19" s="8">
        <f>$D$10</f>
        <v/>
      </c>
      <c r="D19" s="21">
        <f>C19-B19</f>
        <v/>
      </c>
      <c r="E19" s="22">
        <f>C19/B19</f>
        <v/>
      </c>
      <c r="F19" s="23" t="inlineStr">
        <is>
          <t>Verein zahlt drauf</t>
        </is>
      </c>
    </row>
    <row r="20">
      <c r="A20" s="18" t="n">
        <v>25</v>
      </c>
      <c r="B20" s="8">
        <f>A20*$B$4</f>
        <v/>
      </c>
      <c r="C20" s="8">
        <f>$D$10</f>
        <v/>
      </c>
      <c r="D20" s="21">
        <f>C20-B20</f>
        <v/>
      </c>
      <c r="E20" s="22">
        <f>C20/B20</f>
        <v/>
      </c>
      <c r="F20" s="24" t="inlineStr">
        <is>
          <t>Break-even (Differenz CHF 25)</t>
        </is>
      </c>
    </row>
    <row r="21">
      <c r="A21" s="18" t="n">
        <v>30</v>
      </c>
      <c r="B21" s="8">
        <f>A21*$B$4</f>
        <v/>
      </c>
      <c r="C21" s="8">
        <f>$D$10</f>
        <v/>
      </c>
      <c r="D21" s="21">
        <f>C21-B21</f>
        <v/>
      </c>
      <c r="E21" s="22">
        <f>C21/B21</f>
        <v/>
      </c>
      <c r="F21" s="25" t="inlineStr">
        <is>
          <t>Verein spart</t>
        </is>
      </c>
    </row>
    <row r="22">
      <c r="A22" s="18" t="n">
        <v>40</v>
      </c>
      <c r="B22" s="8">
        <f>A22*$B$4</f>
        <v/>
      </c>
      <c r="C22" s="8">
        <f>$D$10</f>
        <v/>
      </c>
      <c r="D22" s="21">
        <f>C22-B22</f>
        <v/>
      </c>
      <c r="E22" s="22">
        <f>C22/B22</f>
        <v/>
      </c>
      <c r="F22" s="25" t="inlineStr">
        <is>
          <t>Verein spart</t>
        </is>
      </c>
    </row>
    <row r="23">
      <c r="A23" s="18" t="n">
        <v>50</v>
      </c>
      <c r="B23" s="8">
        <f>A23*$B$4</f>
        <v/>
      </c>
      <c r="C23" s="8">
        <f>$D$10</f>
        <v/>
      </c>
      <c r="D23" s="21">
        <f>C23-B23</f>
        <v/>
      </c>
      <c r="E23" s="22">
        <f>C23/B23</f>
        <v/>
      </c>
      <c r="F23" s="25" t="inlineStr">
        <is>
          <t>Verein spart</t>
        </is>
      </c>
    </row>
    <row r="25" ht="32" customHeight="1">
      <c r="A25" s="4" t="inlineStr">
        <is>
          <t>Break-even liegt bei CHF 10'000 / CHF 399 = 25 Coaches. Da die meisten Vereine 10–20 Coaches haben, ist der Einheitspreis von 10k für die Mehrheit ein Argument gegen uns. Mit der Staffel bleibt jede Stufe unter der Einzelsumme und der Verein spart sichtbar.</t>
        </is>
      </c>
    </row>
  </sheetData>
  <mergeCells count="2">
    <mergeCell ref="A12:H12"/>
    <mergeCell ref="A25:H2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min="1" max="1"/>
    <col width="15" customWidth="1" min="2" max="2"/>
    <col width="15" customWidth="1" min="3" max="3"/>
    <col width="15" customWidth="1" min="4" max="4"/>
    <col width="15" customWidth="1" min="5" max="5"/>
    <col width="16" customWidth="1" min="6" max="6"/>
    <col width="18" customWidth="1" min="7" max="7"/>
    <col width="34" customWidth="1" min="8" max="8"/>
  </cols>
  <sheetData>
    <row r="1">
      <c r="A1" s="1" t="inlineStr">
        <is>
          <t>Zielmarkt</t>
        </is>
      </c>
    </row>
    <row r="2">
      <c r="A2" s="2" t="inlineStr">
        <is>
          <t>Basis ist unsere eigene Kontaktliste (414 Einträge mit Telefon, Mail und Adresse) — nicht der Gesamtmarkt.</t>
        </is>
      </c>
    </row>
    <row r="4" ht="28" customHeight="1">
      <c r="A4" s="5" t="inlineStr">
        <is>
          <t>Sportart</t>
        </is>
      </c>
      <c r="B4" s="5" t="inlineStr">
        <is>
          <t>In unserer Liste</t>
        </is>
      </c>
      <c r="C4" s="5" t="inlineStr">
        <is>
          <t>Markt CH gesamt</t>
        </is>
      </c>
      <c r="D4" s="5" t="inlineStr">
        <is>
          <t>Ø Coaches pro Verein</t>
        </is>
      </c>
      <c r="E4" s="5" t="inlineStr">
        <is>
          <t>Passende Stufe</t>
        </is>
      </c>
      <c r="F4" s="5" t="inlineStr">
        <is>
          <t>Preis pro Jahr</t>
        </is>
      </c>
      <c r="G4" s="5" t="inlineStr">
        <is>
          <t>Potenzial bei 100 %</t>
        </is>
      </c>
      <c r="H4" s="5" t="inlineStr">
        <is>
          <t>Warum diese Priorität</t>
        </is>
      </c>
    </row>
    <row r="5" ht="42" customHeight="1">
      <c r="A5" s="6" t="inlineStr">
        <is>
          <t>Golf</t>
        </is>
      </c>
      <c r="B5" s="7" t="n">
        <v>103</v>
      </c>
      <c r="C5" s="18" t="n">
        <v>100</v>
      </c>
      <c r="D5" s="18" t="n">
        <v>6</v>
      </c>
      <c r="E5" s="26" t="inlineStr">
        <is>
          <t>S</t>
        </is>
      </c>
      <c r="F5" s="8">
        <f>INDEX('2 Preismodell'!$D$8:$D$11,1)</f>
        <v/>
      </c>
      <c r="G5" s="20">
        <f>B5*F5</f>
        <v/>
      </c>
      <c r="H5" s="10" t="inlineStr">
        <is>
          <t>Höchste Zahlungskraft: eigener Platz, Geschäftsführung, Marketingbudget. Wenige Pros, darum Stufe S.</t>
        </is>
      </c>
    </row>
    <row r="6" ht="42" customHeight="1">
      <c r="A6" s="6" t="inlineStr">
        <is>
          <t>Tennis</t>
        </is>
      </c>
      <c r="B6" s="7" t="n">
        <v>99</v>
      </c>
      <c r="C6" s="18" t="n">
        <v>900</v>
      </c>
      <c r="D6" s="18" t="n">
        <v>12</v>
      </c>
      <c r="E6" s="26" t="inlineStr">
        <is>
          <t>M</t>
        </is>
      </c>
      <c r="F6" s="8">
        <f>INDEX('2 Preismodell'!$D$8:$D$11,2)</f>
        <v/>
      </c>
      <c r="G6" s="20">
        <f>B6*F6</f>
        <v/>
      </c>
      <c r="H6" s="10" t="inlineStr">
        <is>
          <t>Grösste Zahl an Clubs mit eigener Anlage. Herz der Zielgruppe.</t>
        </is>
      </c>
    </row>
    <row r="7" ht="42" customHeight="1">
      <c r="A7" s="6" t="inlineStr">
        <is>
          <t>Schwimmen</t>
        </is>
      </c>
      <c r="B7" s="7" t="n">
        <v>180</v>
      </c>
      <c r="C7" s="18" t="n">
        <v>175</v>
      </c>
      <c r="D7" s="18" t="n">
        <v>20</v>
      </c>
      <c r="E7" s="26" t="inlineStr">
        <is>
          <t>M</t>
        </is>
      </c>
      <c r="F7" s="8">
        <f>INDEX('2 Preismodell'!$D$8:$D$11,2)</f>
        <v/>
      </c>
      <c r="G7" s="20">
        <f>B7*F7</f>
        <v/>
      </c>
      <c r="H7" s="10" t="inlineStr">
        <is>
          <t>Viele Trainer pro Verein und laufendes Kursgeschäft — dort wird ohnehin gesucht.</t>
        </is>
      </c>
    </row>
    <row r="8" ht="42" customHeight="1">
      <c r="A8" s="6" t="inlineStr">
        <is>
          <t>Reiten &amp; Eishockey</t>
        </is>
      </c>
      <c r="B8" s="7" t="n">
        <v>32</v>
      </c>
      <c r="C8" s="18" t="n">
        <v>450</v>
      </c>
      <c r="D8" s="18" t="n">
        <v>25</v>
      </c>
      <c r="E8" s="26" t="inlineStr">
        <is>
          <t>M</t>
        </is>
      </c>
      <c r="F8" s="8">
        <f>INDEX('2 Preismodell'!$D$8:$D$11,2)</f>
        <v/>
      </c>
      <c r="G8" s="20">
        <f>B8*F8</f>
        <v/>
      </c>
      <c r="H8" s="10" t="inlineStr">
        <is>
          <t>Eishockey mit grossem Nachwuchsstab; Reitbetriebe meist kommerziell geführt und entscheiden schnell.</t>
        </is>
      </c>
    </row>
    <row r="9">
      <c r="A9" s="6" t="inlineStr">
        <is>
          <t>Total</t>
        </is>
      </c>
      <c r="B9" s="27">
        <f>SUM(B5:B8)</f>
        <v/>
      </c>
      <c r="C9" s="27">
        <f>SUM(C5:C8)</f>
        <v/>
      </c>
      <c r="G9" s="9">
        <f>SUM(G5:G8)</f>
        <v/>
      </c>
      <c r="H9" s="10" t="inlineStr">
        <is>
          <t>Theoretische Obergrenze, wenn jeder Verein der Liste zahlt. Nie die Planzahl.</t>
        </is>
      </c>
    </row>
    <row r="11">
      <c r="A11" s="3" t="inlineStr">
        <is>
          <t>Vom Kontakt zum Kunden</t>
        </is>
      </c>
    </row>
    <row r="12" ht="28" customHeight="1">
      <c r="A12" s="5" t="inlineStr">
        <is>
          <t>Stufe</t>
        </is>
      </c>
      <c r="B12" s="5" t="inlineStr">
        <is>
          <t>Vorsichtig</t>
        </is>
      </c>
      <c r="C12" s="5" t="inlineStr">
        <is>
          <t>Realistisch</t>
        </is>
      </c>
      <c r="D12" s="5" t="inlineStr">
        <is>
          <t>Optimistisch</t>
        </is>
      </c>
      <c r="E12" s="5" t="inlineStr"/>
      <c r="F12" s="5" t="inlineStr"/>
      <c r="G12" s="5" t="inlineStr"/>
      <c r="H12" s="5" t="inlineStr">
        <is>
          <t>Bemerkung</t>
        </is>
      </c>
    </row>
    <row r="13">
      <c r="A13" s="6" t="inlineStr">
        <is>
          <t>Vereine angeschrieben</t>
        </is>
      </c>
      <c r="B13" s="7">
        <f>'4 Szenarien'!D4</f>
        <v/>
      </c>
      <c r="C13" s="7">
        <f>'4 Szenarien'!E4</f>
        <v/>
      </c>
      <c r="D13" s="7">
        <f>'4 Szenarien'!F4</f>
        <v/>
      </c>
      <c r="H13" s="10" t="inlineStr">
        <is>
          <t>Aus der Liste, mit Name des Ansprechpartners.</t>
        </is>
      </c>
    </row>
    <row r="14">
      <c r="A14" s="6" t="inlineStr">
        <is>
          <t>davon antworten</t>
        </is>
      </c>
      <c r="B14" s="7">
        <f>'4 Szenarien'!D4*'4 Szenarien'!D5</f>
        <v/>
      </c>
      <c r="C14" s="7">
        <f>'4 Szenarien'!E4*'4 Szenarien'!E5</f>
        <v/>
      </c>
      <c r="D14" s="7">
        <f>'4 Szenarien'!F4*'4 Szenarien'!F5</f>
        <v/>
      </c>
      <c r="H14" s="10" t="inlineStr">
        <is>
          <t>Antwortquote steht auf Blatt 4 und ist änderbar.</t>
        </is>
      </c>
    </row>
    <row r="15">
      <c r="A15" s="6" t="inlineStr">
        <is>
          <t>davon schliessen ab</t>
        </is>
      </c>
      <c r="B15" s="7">
        <f>'4 Szenarien'!D6</f>
        <v/>
      </c>
      <c r="C15" s="7">
        <f>'4 Szenarien'!E6</f>
        <v/>
      </c>
      <c r="D15" s="7">
        <f>'4 Szenarien'!F6</f>
        <v/>
      </c>
      <c r="H15" s="10" t="inlineStr">
        <is>
          <t>Kunden im ersten Jahr.</t>
        </is>
      </c>
    </row>
    <row r="16">
      <c r="A16" s="6" t="inlineStr">
        <is>
          <t>Abschlussquote gesamt</t>
        </is>
      </c>
      <c r="B16" s="28">
        <f>B15/B13</f>
        <v/>
      </c>
      <c r="C16" s="28">
        <f>C15/C13</f>
        <v/>
      </c>
      <c r="D16" s="28">
        <f>D15/D13</f>
        <v/>
      </c>
      <c r="H16" s="10" t="inlineStr">
        <is>
          <t>Anteil der angeschriebenen Vereine, der unterschreibt.</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4" customWidth="1" min="2" max="2"/>
    <col width="4" customWidth="1" min="3" max="3"/>
    <col width="16" customWidth="1" min="4" max="4"/>
    <col width="16" customWidth="1" min="5" max="5"/>
    <col width="16" customWidth="1" min="6" max="6"/>
    <col width="4" customWidth="1" min="7" max="7"/>
    <col width="44" customWidth="1" min="8" max="8"/>
  </cols>
  <sheetData>
    <row r="1">
      <c r="A1" s="1" t="inlineStr">
        <is>
          <t>Szenarien über drei Jahre</t>
        </is>
      </c>
    </row>
    <row r="2">
      <c r="A2" s="2" t="inlineStr">
        <is>
          <t>Blau ist Eingabe. Alles darunter rechnet sich daraus.</t>
        </is>
      </c>
    </row>
    <row r="3" ht="28" customHeight="1">
      <c r="A3" s="5" t="inlineStr">
        <is>
          <t>Treiber</t>
        </is>
      </c>
      <c r="B3" s="5" t="inlineStr"/>
      <c r="C3" s="5" t="inlineStr"/>
      <c r="D3" s="5" t="inlineStr">
        <is>
          <t>Vorsichtig</t>
        </is>
      </c>
      <c r="E3" s="5" t="inlineStr">
        <is>
          <t>Realistisch</t>
        </is>
      </c>
      <c r="F3" s="5" t="inlineStr">
        <is>
          <t>Optimistisch</t>
        </is>
      </c>
      <c r="G3" s="5" t="inlineStr"/>
      <c r="H3" s="5" t="inlineStr">
        <is>
          <t>Bemerkung</t>
        </is>
      </c>
    </row>
    <row r="4" ht="26" customHeight="1">
      <c r="A4" s="6" t="inlineStr">
        <is>
          <t>Vereine angeschrieben (Jahr 1)</t>
        </is>
      </c>
      <c r="D4" s="18" t="n">
        <v>200</v>
      </c>
      <c r="E4" s="18" t="n">
        <v>350</v>
      </c>
      <c r="F4" s="18" t="n">
        <v>414</v>
      </c>
      <c r="H4" s="10" t="inlineStr">
        <is>
          <t>Die Liste hat 414 Einträge mit Kontaktdaten.</t>
        </is>
      </c>
    </row>
    <row r="5" ht="26" customHeight="1">
      <c r="A5" s="6" t="inlineStr">
        <is>
          <t>Antwortquote</t>
        </is>
      </c>
      <c r="D5" s="29" t="n">
        <v>0.12</v>
      </c>
      <c r="E5" s="29" t="n">
        <v>0.2</v>
      </c>
      <c r="F5" s="29" t="n">
        <v>0.3</v>
      </c>
      <c r="H5" s="10" t="inlineStr">
        <is>
          <t>Kaltmail an Vereine liegt erfahrungsgemäss bei 10–20 %; mit Telefon-Nachfassen höher. Annahme.</t>
        </is>
      </c>
    </row>
    <row r="6" ht="26" customHeight="1">
      <c r="A6" s="6" t="inlineStr">
        <is>
          <t>Abschlüsse Jahr 1</t>
        </is>
      </c>
      <c r="D6" s="7">
        <f>ROUND(D4*D5*D7,0)</f>
        <v/>
      </c>
      <c r="E6" s="7">
        <f>ROUND(E4*E5*E7,0)</f>
        <v/>
      </c>
      <c r="F6" s="7">
        <f>ROUND(F4*F5*F7,0)</f>
        <v/>
      </c>
      <c r="H6" s="10" t="inlineStr">
        <is>
          <t>Angeschrieben × Antwortquote × Abschluss aus Antwort, auf ganze Vereine gerundet.</t>
        </is>
      </c>
    </row>
    <row r="7" ht="26" customHeight="1">
      <c r="A7" s="6" t="inlineStr">
        <is>
          <t>Abschluss aus Antwort</t>
        </is>
      </c>
      <c r="D7" s="29" t="n">
        <v>0.08</v>
      </c>
      <c r="E7" s="29" t="n">
        <v>0.15</v>
      </c>
      <c r="F7" s="29" t="n">
        <v>0.25</v>
      </c>
      <c r="H7" s="10" t="inlineStr">
        <is>
          <t>Annahme, im Pilot zu messen.</t>
        </is>
      </c>
    </row>
    <row r="8" ht="26" customHeight="1">
      <c r="A8" s="6" t="inlineStr">
        <is>
          <t>Ø Jahrespreis pro Verein</t>
        </is>
      </c>
      <c r="D8" s="16" t="n">
        <v>2490</v>
      </c>
      <c r="E8" s="16" t="n">
        <v>4900</v>
      </c>
      <c r="F8" s="16" t="n">
        <v>6900</v>
      </c>
      <c r="H8" s="10" t="inlineStr">
        <is>
          <t>Vorsichtig = nur Stufe S, realistisch = Stufe M, optimistisch = Mischung M und L.</t>
        </is>
      </c>
    </row>
    <row r="9" ht="26" customHeight="1">
      <c r="A9" s="6" t="inlineStr">
        <is>
          <t>Verlängerungsquote pro Jahr</t>
        </is>
      </c>
      <c r="D9" s="29" t="n">
        <v>0.75</v>
      </c>
      <c r="E9" s="29" t="n">
        <v>0.85</v>
      </c>
      <c r="F9" s="29" t="n">
        <v>0.9</v>
      </c>
      <c r="H9" s="10" t="inlineStr">
        <is>
          <t>Vertragslaufzeit 24 Monate, danach jährliche Verlängerung.</t>
        </is>
      </c>
    </row>
    <row r="10" ht="26" customHeight="1">
      <c r="A10" s="6" t="inlineStr">
        <is>
          <t>Neue Vereine Jahr 2</t>
        </is>
      </c>
      <c r="D10" s="18" t="n">
        <v>8</v>
      </c>
      <c r="E10" s="18" t="n">
        <v>20</v>
      </c>
      <c r="F10" s="18" t="n">
        <v>45</v>
      </c>
      <c r="H10" s="10" t="inlineStr">
        <is>
          <t>Empfehlungen und zweite Welle.</t>
        </is>
      </c>
    </row>
    <row r="11" ht="26" customHeight="1">
      <c r="A11" s="6" t="inlineStr">
        <is>
          <t>Neue Vereine Jahr 3</t>
        </is>
      </c>
      <c r="D11" s="18" t="n">
        <v>10</v>
      </c>
      <c r="E11" s="18" t="n">
        <v>30</v>
      </c>
      <c r="F11" s="18" t="n">
        <v>70</v>
      </c>
      <c r="H11" s="10" t="inlineStr">
        <is>
          <t>Ab hier trägt die Referenzliste.</t>
        </is>
      </c>
    </row>
    <row r="13">
      <c r="A13" s="3" t="inlineStr">
        <is>
          <t>Ergebnis</t>
        </is>
      </c>
    </row>
    <row r="14" ht="28" customHeight="1">
      <c r="A14" s="5" t="inlineStr">
        <is>
          <t>Kennzahl</t>
        </is>
      </c>
      <c r="B14" s="5" t="inlineStr"/>
      <c r="C14" s="5" t="inlineStr"/>
      <c r="D14" s="5" t="inlineStr">
        <is>
          <t>Vorsichtig</t>
        </is>
      </c>
      <c r="E14" s="5" t="inlineStr">
        <is>
          <t>Realistisch</t>
        </is>
      </c>
      <c r="F14" s="5" t="inlineStr">
        <is>
          <t>Optimistisch</t>
        </is>
      </c>
      <c r="G14" s="5" t="inlineStr"/>
      <c r="H14" s="5" t="inlineStr">
        <is>
          <t>Bemerkung</t>
        </is>
      </c>
    </row>
    <row r="15">
      <c r="A15" s="26" t="inlineStr">
        <is>
          <t>Kunden Ende Jahr 1</t>
        </is>
      </c>
      <c r="D15" s="7">
        <f>D6</f>
        <v/>
      </c>
      <c r="E15" s="7">
        <f>E6</f>
        <v/>
      </c>
      <c r="F15" s="7">
        <f>F6</f>
        <v/>
      </c>
      <c r="H15" s="10" t="inlineStr"/>
    </row>
    <row r="16">
      <c r="A16" s="26" t="inlineStr">
        <is>
          <t>ARR Jahr 1</t>
        </is>
      </c>
      <c r="D16" s="8">
        <f>D15*D8</f>
        <v/>
      </c>
      <c r="E16" s="8">
        <f>E15*E8</f>
        <v/>
      </c>
      <c r="F16" s="8">
        <f>F15*F8</f>
        <v/>
      </c>
      <c r="H16" s="10" t="inlineStr">
        <is>
          <t>Wiederkehrender Jahresumsatz.</t>
        </is>
      </c>
    </row>
    <row r="17">
      <c r="A17" s="26" t="inlineStr">
        <is>
          <t>Kunden Ende Jahr 2</t>
        </is>
      </c>
      <c r="D17" s="7">
        <f>ROUND(D15*D9+D10,0)</f>
        <v/>
      </c>
      <c r="E17" s="7">
        <f>ROUND(E15*E9+E10,0)</f>
        <v/>
      </c>
      <c r="F17" s="7">
        <f>ROUND(F15*F9+F10,0)</f>
        <v/>
      </c>
      <c r="H17" s="10" t="inlineStr">
        <is>
          <t>Bestand nach Kündigungen plus neue.</t>
        </is>
      </c>
    </row>
    <row r="18">
      <c r="A18" s="26" t="inlineStr">
        <is>
          <t>ARR Jahr 2</t>
        </is>
      </c>
      <c r="D18" s="8">
        <f>D17*D8</f>
        <v/>
      </c>
      <c r="E18" s="8">
        <f>E17*E8</f>
        <v/>
      </c>
      <c r="F18" s="8">
        <f>F17*F8</f>
        <v/>
      </c>
      <c r="H18" s="10" t="inlineStr"/>
    </row>
    <row r="19">
      <c r="A19" s="26" t="inlineStr">
        <is>
          <t>Kunden Ende Jahr 3</t>
        </is>
      </c>
      <c r="D19" s="7">
        <f>ROUND(D17*D9+D11,0)</f>
        <v/>
      </c>
      <c r="E19" s="7">
        <f>ROUND(E17*E9+E11,0)</f>
        <v/>
      </c>
      <c r="F19" s="7">
        <f>ROUND(F17*F9+F11,0)</f>
        <v/>
      </c>
      <c r="H19" s="10" t="inlineStr"/>
    </row>
    <row r="20">
      <c r="A20" s="26" t="inlineStr">
        <is>
          <t>ARR Jahr 3</t>
        </is>
      </c>
      <c r="D20" s="8">
        <f>D19*D8</f>
        <v/>
      </c>
      <c r="E20" s="8">
        <f>E19*E8</f>
        <v/>
      </c>
      <c r="F20" s="8">
        <f>F19*F8</f>
        <v/>
      </c>
      <c r="H20" s="10" t="inlineStr"/>
    </row>
    <row r="21">
      <c r="A21" s="6" t="inlineStr">
        <is>
          <t>Umsatz 3 Jahre kumuliert</t>
        </is>
      </c>
      <c r="D21" s="9">
        <f>D16+D18+D20</f>
        <v/>
      </c>
      <c r="E21" s="9">
        <f>E16+E18+E20</f>
        <v/>
      </c>
      <c r="F21" s="9">
        <f>F16+F18+F20</f>
        <v/>
      </c>
      <c r="H21" s="10" t="inlineStr">
        <is>
          <t>Summe der drei Jahresumsätze.</t>
        </is>
      </c>
    </row>
    <row r="23">
      <c r="A23" s="3" t="inlineStr">
        <is>
          <t>Gegenprobe zu den Zahlen aus dem Chat</t>
        </is>
      </c>
    </row>
    <row r="24" ht="28" customHeight="1">
      <c r="A24" s="5" t="inlineStr">
        <is>
          <t>Behauptung</t>
        </is>
      </c>
      <c r="B24" s="5" t="inlineStr"/>
      <c r="C24" s="5" t="inlineStr"/>
      <c r="D24" s="5" t="inlineStr">
        <is>
          <t>Rechnung</t>
        </is>
      </c>
      <c r="E24" s="5" t="inlineStr">
        <is>
          <t>Nötige Abschlussquote</t>
        </is>
      </c>
      <c r="F24" s="5" t="inlineStr">
        <is>
          <t>Urteil</t>
        </is>
      </c>
      <c r="G24" s="5" t="inlineStr"/>
      <c r="H24" s="5" t="inlineStr">
        <is>
          <t>Kommentar</t>
        </is>
      </c>
    </row>
    <row r="25" ht="46" customHeight="1">
      <c r="A25" s="12" t="inlineStr">
        <is>
          <t>«200 Vereine à CHF 1'000 über 3 Jahre = CHF 600'000»</t>
        </is>
      </c>
      <c r="B25" s="13" t="n"/>
      <c r="C25" s="14" t="n"/>
      <c r="D25" s="8">
        <f>200*1000*3</f>
        <v/>
      </c>
      <c r="E25" s="28">
        <f>200/F4</f>
        <v/>
      </c>
      <c r="F25" s="24" t="inlineStr">
        <is>
          <t>Möglich, aber teuer erkauft</t>
        </is>
      </c>
      <c r="H25" s="10" t="inlineStr">
        <is>
          <t>Rechnerisch korrekt. Es braucht aber 200 Abschlüsse — knapp die Hälfte unserer ganzen Liste. Und CHF 1'000 sind 2.5 Coaches zum Einzelpreis: viel Aufwand für wenig Ertrag pro Kunde.</t>
        </is>
      </c>
    </row>
    <row r="26" ht="46" customHeight="1">
      <c r="A26" s="12" t="inlineStr">
        <is>
          <t>«10 Vereine à CHF 10'000 = CHF 100'000»</t>
        </is>
      </c>
      <c r="B26" s="13" t="n"/>
      <c r="C26" s="14" t="n"/>
      <c r="D26" s="8">
        <f>10*10000</f>
        <v/>
      </c>
      <c r="E26" s="28">
        <f>10/F4</f>
        <v/>
      </c>
      <c r="F26" s="25" t="inlineStr">
        <is>
          <t>Der bessere Weg</t>
        </is>
      </c>
      <c r="H26" s="10" t="inlineStr">
        <is>
          <t>Nur 10 Abschlüsse nötig — 2 % der Liste. Aber nur bei Vereinen ab 25 Coaches verhandelbar (Blatt 2). Realistisch sind das die grössten Eishockey- und Tennisclubs.</t>
        </is>
      </c>
    </row>
    <row r="29">
      <c r="A29" s="30" t="inlineStr">
        <is>
          <t>Diagrammdaten (verweisen auf die Ergebnisse oben)</t>
        </is>
      </c>
    </row>
    <row r="30" ht="28" customHeight="1">
      <c r="A30" s="5" t="inlineStr"/>
      <c r="B30" s="5" t="inlineStr"/>
      <c r="C30" s="5" t="inlineStr"/>
      <c r="D30" s="5" t="inlineStr">
        <is>
          <t>Vorsichtig</t>
        </is>
      </c>
      <c r="E30" s="5" t="inlineStr">
        <is>
          <t>Realistisch</t>
        </is>
      </c>
      <c r="F30" s="5" t="inlineStr">
        <is>
          <t>Optimistisch</t>
        </is>
      </c>
      <c r="G30" s="5" t="inlineStr"/>
      <c r="H30" s="5" t="inlineStr"/>
    </row>
    <row r="31">
      <c r="A31" s="6" t="inlineStr">
        <is>
          <t>ARR Jahr 1</t>
        </is>
      </c>
      <c r="D31" s="8">
        <f>D16</f>
        <v/>
      </c>
      <c r="E31" s="8">
        <f>E16</f>
        <v/>
      </c>
      <c r="F31" s="8">
        <f>F16</f>
        <v/>
      </c>
    </row>
    <row r="32">
      <c r="A32" s="6" t="inlineStr">
        <is>
          <t>ARR Jahr 2</t>
        </is>
      </c>
      <c r="D32" s="8">
        <f>D18</f>
        <v/>
      </c>
      <c r="E32" s="8">
        <f>E18</f>
        <v/>
      </c>
      <c r="F32" s="8">
        <f>F18</f>
        <v/>
      </c>
    </row>
    <row r="33">
      <c r="A33" s="6" t="inlineStr">
        <is>
          <t>ARR Jahr 3</t>
        </is>
      </c>
      <c r="D33" s="8">
        <f>D20</f>
        <v/>
      </c>
      <c r="E33" s="8">
        <f>E20</f>
        <v/>
      </c>
      <c r="F33" s="8">
        <f>F20</f>
        <v/>
      </c>
    </row>
  </sheetData>
  <mergeCells count="2">
    <mergeCell ref="A25:C25"/>
    <mergeCell ref="A26:C2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40" customWidth="1" min="8" max="8"/>
  </cols>
  <sheetData>
    <row r="1">
      <c r="A1" s="1" t="inlineStr">
        <is>
          <t>Sensitivität</t>
        </is>
      </c>
    </row>
    <row r="2">
      <c r="A2" s="2" t="inlineStr">
        <is>
          <t>Wiederkehrender Jahresumsatz je Kombination aus Preis und Anzahl Kunden.</t>
        </is>
      </c>
    </row>
    <row r="4">
      <c r="A4" s="31" t="inlineStr">
        <is>
          <t>Kunden ↓ / Preis →</t>
        </is>
      </c>
      <c r="B4" s="32" t="n">
        <v>1000</v>
      </c>
      <c r="C4" s="32" t="n">
        <v>2490</v>
      </c>
      <c r="D4" s="32" t="n">
        <v>4900</v>
      </c>
      <c r="E4" s="32" t="n">
        <v>6900</v>
      </c>
      <c r="F4" s="32" t="n">
        <v>9900</v>
      </c>
      <c r="G4" s="32" t="n">
        <v>14900</v>
      </c>
    </row>
    <row r="5">
      <c r="A5" s="33" t="n">
        <v>5</v>
      </c>
      <c r="B5" s="34">
        <f>$A5*B$4</f>
        <v/>
      </c>
      <c r="C5" s="34">
        <f>$A5*C$4</f>
        <v/>
      </c>
      <c r="D5" s="34">
        <f>$A5*D$4</f>
        <v/>
      </c>
      <c r="E5" s="8">
        <f>$A5*E$4</f>
        <v/>
      </c>
      <c r="F5" s="8">
        <f>$A5*F$4</f>
        <v/>
      </c>
      <c r="G5" s="8">
        <f>$A5*G$4</f>
        <v/>
      </c>
    </row>
    <row r="6">
      <c r="A6" s="33" t="n">
        <v>10</v>
      </c>
      <c r="B6" s="34">
        <f>$A6*B$4</f>
        <v/>
      </c>
      <c r="C6" s="34">
        <f>$A6*C$4</f>
        <v/>
      </c>
      <c r="D6" s="8">
        <f>$A6*D$4</f>
        <v/>
      </c>
      <c r="E6" s="8">
        <f>$A6*E$4</f>
        <v/>
      </c>
      <c r="F6" s="8">
        <f>$A6*F$4</f>
        <v/>
      </c>
      <c r="G6" s="35">
        <f>$A6*G$4</f>
        <v/>
      </c>
    </row>
    <row r="7">
      <c r="A7" s="33" t="n">
        <v>20</v>
      </c>
      <c r="B7" s="34">
        <f>$A7*B$4</f>
        <v/>
      </c>
      <c r="C7" s="8">
        <f>$A7*C$4</f>
        <v/>
      </c>
      <c r="D7" s="8">
        <f>$A7*D$4</f>
        <v/>
      </c>
      <c r="E7" s="35">
        <f>$A7*E$4</f>
        <v/>
      </c>
      <c r="F7" s="35">
        <f>$A7*F$4</f>
        <v/>
      </c>
      <c r="G7" s="36">
        <f>$A7*G$4</f>
        <v/>
      </c>
    </row>
    <row r="8">
      <c r="A8" s="33" t="n">
        <v>30</v>
      </c>
      <c r="B8" s="8">
        <f>$A8*B$4</f>
        <v/>
      </c>
      <c r="C8" s="8">
        <f>$A8*C$4</f>
        <v/>
      </c>
      <c r="D8" s="35">
        <f>$A8*D$4</f>
        <v/>
      </c>
      <c r="E8" s="36">
        <f>$A8*E$4</f>
        <v/>
      </c>
      <c r="F8" s="36">
        <f>$A8*F$4</f>
        <v/>
      </c>
      <c r="G8" s="36">
        <f>$A8*G$4</f>
        <v/>
      </c>
    </row>
    <row r="9">
      <c r="A9" s="33" t="n">
        <v>50</v>
      </c>
      <c r="B9" s="8">
        <f>$A9*B$4</f>
        <v/>
      </c>
      <c r="C9" s="35">
        <f>$A9*C$4</f>
        <v/>
      </c>
      <c r="D9" s="36">
        <f>$A9*D$4</f>
        <v/>
      </c>
      <c r="E9" s="36">
        <f>$A9*E$4</f>
        <v/>
      </c>
      <c r="F9" s="36">
        <f>$A9*F$4</f>
        <v/>
      </c>
      <c r="G9" s="36">
        <f>$A9*G$4</f>
        <v/>
      </c>
    </row>
    <row r="10">
      <c r="A10" s="33" t="n">
        <v>80</v>
      </c>
      <c r="B10" s="8">
        <f>$A10*B$4</f>
        <v/>
      </c>
      <c r="C10" s="35">
        <f>$A10*C$4</f>
        <v/>
      </c>
      <c r="D10" s="36">
        <f>$A10*D$4</f>
        <v/>
      </c>
      <c r="E10" s="36">
        <f>$A10*E$4</f>
        <v/>
      </c>
      <c r="F10" s="36">
        <f>$A10*F$4</f>
        <v/>
      </c>
      <c r="G10" s="36">
        <f>$A10*G$4</f>
        <v/>
      </c>
    </row>
    <row r="11">
      <c r="A11" s="33" t="n">
        <v>120</v>
      </c>
      <c r="B11" s="35">
        <f>$A11*B$4</f>
        <v/>
      </c>
      <c r="C11" s="36">
        <f>$A11*C$4</f>
        <v/>
      </c>
      <c r="D11" s="36">
        <f>$A11*D$4</f>
        <v/>
      </c>
      <c r="E11" s="36">
        <f>$A11*E$4</f>
        <v/>
      </c>
      <c r="F11" s="36">
        <f>$A11*F$4</f>
        <v/>
      </c>
      <c r="G11" s="36">
        <f>$A11*G$4</f>
        <v/>
      </c>
    </row>
    <row r="12">
      <c r="A12" s="33" t="n">
        <v>200</v>
      </c>
      <c r="B12" s="36">
        <f>$A12*B$4</f>
        <v/>
      </c>
      <c r="C12" s="36">
        <f>$A12*C$4</f>
        <v/>
      </c>
      <c r="D12" s="36">
        <f>$A12*D$4</f>
        <v/>
      </c>
      <c r="E12" s="36">
        <f>$A12*E$4</f>
        <v/>
      </c>
      <c r="F12" s="36">
        <f>$A12*F$4</f>
        <v/>
      </c>
      <c r="G12" s="36">
        <f>$A12*G$4</f>
        <v/>
      </c>
    </row>
    <row r="14" ht="44" customHeight="1">
      <c r="A14" s="4" t="inlineStr">
        <is>
          <t>Grün ab CHF 200'000 wiederkehrend, orange ab CHF 100'000. Die gleiche Zelle erreicht man auf zwei Wegen: 200 kleine Kunden zu CHF 1'000 oder 20 grosse zu CHF 9'900. Beides ergibt rund CHF 200'000 — der zweite Weg kostet ein Zehntel des Vertriebsaufwands. Das ist das eigentliche Argument für die Staffel.</t>
        </is>
      </c>
    </row>
  </sheetData>
  <mergeCells count="1">
    <mergeCell ref="A14:H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6" customWidth="1" min="1" max="1"/>
    <col width="40" customWidth="1" min="2" max="2"/>
    <col width="40" customWidth="1" min="3" max="3"/>
    <col width="40" customWidth="1" min="4" max="4"/>
    <col width="30" customWidth="1" min="5" max="5"/>
  </cols>
  <sheetData>
    <row r="1">
      <c r="A1" s="1" t="inlineStr">
        <is>
          <t>Der Zielkonflikt — und wie wir ihn auflösen</t>
        </is>
      </c>
    </row>
    <row r="2">
      <c r="A2" s="2" t="inlineStr">
        <is>
          <t>Der Verein zahlt, weil er etwas davon hat. Die Plattform lebt davon, dass es um den Coach geht.</t>
        </is>
      </c>
    </row>
    <row r="4">
      <c r="A4" s="3" t="inlineStr">
        <is>
          <t>Das Problem in einem Satz</t>
        </is>
      </c>
    </row>
    <row r="5" ht="32" customHeight="1">
      <c r="A5" s="4" t="inlineStr">
        <is>
          <t>Ein Verein zahlt nur, wenn er den Nutzen sieht — der Nutzen ist die Anfrage. Leiten wir Anfragen an die Vereinsadresse, wird aus der Coach-Plattform ein Vereinsverzeichnis, und die Coaches verlieren den Grund, bei uns zu sein.</t>
        </is>
      </c>
    </row>
    <row r="7" ht="28" customHeight="1">
      <c r="A7" s="5" t="inlineStr">
        <is>
          <t>Modell</t>
        </is>
      </c>
      <c r="B7" s="5" t="inlineStr">
        <is>
          <t>Wie es läuft</t>
        </is>
      </c>
      <c r="C7" s="5" t="inlineStr">
        <is>
          <t>Spricht dafür</t>
        </is>
      </c>
      <c r="D7" s="5" t="inlineStr">
        <is>
          <t>Spricht dagegen</t>
        </is>
      </c>
      <c r="E7" s="5" t="inlineStr">
        <is>
          <t>Urteil</t>
        </is>
      </c>
    </row>
    <row r="8" ht="76" customHeight="1">
      <c r="A8" s="12" t="inlineStr">
        <is>
          <t>A — Anfrage an den Verein</t>
        </is>
      </c>
      <c r="B8" s="10" t="inlineStr">
        <is>
          <t>Coach-Profile bleiben sichtbar, aber jeder Kontaktbutton führt zur Vereinsadresse.</t>
        </is>
      </c>
      <c r="C8" s="10" t="inlineStr">
        <is>
          <t>Für den Verein die einfachste Zusage: er behält die Kundenbeziehung vollständig.</t>
        </is>
      </c>
      <c r="D8" s="10" t="inlineStr">
        <is>
          <t>Bricht das Versprechen der Plattform. Coaches werden zu Karteikarten und wandern ab. Der Kunde erwartet den Coach, den er angeschrieben hat, und bekommt eine Zentrale.</t>
        </is>
      </c>
      <c r="E8" s="37" t="inlineStr">
        <is>
          <t>Nicht empfohlen</t>
        </is>
      </c>
    </row>
    <row r="9" ht="76" customHeight="1">
      <c r="A9" s="12" t="inlineStr">
        <is>
          <t>B — Anfrage nur an den Coach</t>
        </is>
      </c>
      <c r="B9" s="10" t="inlineStr">
        <is>
          <t>Alles bleibt wie heute, der Verein zahlt für Sichtbarkeit und sein Logo auf den Profilen.</t>
        </is>
      </c>
      <c r="C9" s="10" t="inlineStr">
        <is>
          <t>Philosophie bleibt unangetastet, kein Bruch im Produkt.</t>
        </is>
      </c>
      <c r="D9" s="10" t="inlineStr">
        <is>
          <t>Der Verein fragt zu Recht: wofür zahle ich? Ohne sichtbaren Rücklauf keine Verlängerung.</t>
        </is>
      </c>
      <c r="E9" s="38" t="inlineStr">
        <is>
          <t>Zu wenig für den Verein</t>
        </is>
      </c>
    </row>
    <row r="10" ht="76" customHeight="1">
      <c r="A10" s="12" t="inlineStr">
        <is>
          <t>C — Anfrage an den Coach, Verein in Kopie</t>
        </is>
      </c>
      <c r="B10" s="10" t="inlineStr">
        <is>
          <t>Die Anfrage geht an den Coach. Der Verein erhält automatisch eine Kopie und sieht im Dashboard alle Anfragen, Buchungen und Auslastung seiner Coaches.</t>
        </is>
      </c>
      <c r="C10" s="10" t="inlineStr">
        <is>
          <t>Der Coach bleibt der Ansprechpartner — Versprechen gehalten. Der Verein sieht schwarz auf weiss, was das Abo bringt, und behält die Kontrolle über seine Coaches.</t>
        </is>
      </c>
      <c r="D10" s="10" t="inlineStr">
        <is>
          <t>Etwas Entwicklungsaufwand: Vereinskonto, Dashboard, Kopie-Zustellung.</t>
        </is>
      </c>
      <c r="E10" s="39" t="inlineStr">
        <is>
          <t>Empfehlung</t>
        </is>
      </c>
    </row>
    <row r="12">
      <c r="A12" s="3" t="inlineStr">
        <is>
          <t>Die vier Einwände, die im Gespräch garantiert kommen</t>
        </is>
      </c>
    </row>
    <row r="13" ht="28" customHeight="1">
      <c r="A13" s="5" t="inlineStr">
        <is>
          <t>Einwand</t>
        </is>
      </c>
      <c r="B13" s="5" t="inlineStr">
        <is>
          <t>Antwort</t>
        </is>
      </c>
      <c r="C13" s="5" t="inlineStr">
        <is>
          <t>Regelung im Vertrag</t>
        </is>
      </c>
      <c r="D13" s="5" t="inlineStr"/>
      <c r="E13" s="5" t="inlineStr"/>
    </row>
    <row r="14" ht="62" customHeight="1">
      <c r="A14" s="12" t="inlineStr">
        <is>
          <t>«Dann melden sich unsere Coaches einfach privat an und wir zahlen umsonst.»</t>
        </is>
      </c>
      <c r="B14" s="10" t="inlineStr">
        <is>
          <t>Solange der Verein zahlt, läuft der Coach über den Vereinscode. Ein zweites Privatprofil ist nur mit Freigabe des Vereins möglich.</t>
        </is>
      </c>
      <c r="C14" s="10" t="inlineStr">
        <is>
          <t>Vereinscodes pro Coach; keine Doppellistung ohne Freigabe; Code erlischt beim Vereinsaustritt.</t>
        </is>
      </c>
      <c r="D14" s="13" t="n"/>
      <c r="E14" s="14" t="n"/>
    </row>
    <row r="15" ht="62" customHeight="1">
      <c r="A15" s="12" t="inlineStr">
        <is>
          <t>«Privatlektionen sind billiger, dann bucht niemand mehr über uns.»</t>
        </is>
      </c>
      <c r="B15" s="10" t="inlineStr">
        <is>
          <t>In Tennis, Schwimmen und Ski ist die Privatlektion regelmässig teurer als das Vereinsangebot — sie ist die Zusatzleistung, nicht die günstigere Alternative.</t>
        </is>
      </c>
      <c r="C15" s="10" t="inlineStr">
        <is>
          <t>Preisuntergrenze: Privatlektionen eines Vereinscoaches liegen mindestens auf Vereinsniveau.</t>
        </is>
      </c>
      <c r="D15" s="13" t="n"/>
      <c r="E15" s="14" t="n"/>
    </row>
    <row r="16" ht="62" customHeight="1">
      <c r="A16" s="12" t="inlineStr">
        <is>
          <t>«Was, wenn ein Coach den Verein verlässt?»</t>
        </is>
      </c>
      <c r="B16" s="10" t="inlineStr">
        <is>
          <t>Sein Zugang wird deaktiviert, das Profil verschwindet aus dem Vereinspaket. Der Verein zahlt nie für jemanden, der nicht mehr da ist.</t>
        </is>
      </c>
      <c r="C16" s="10" t="inlineStr">
        <is>
          <t>Codes monatlich abrechenbar; Deaktivierung innert 5 Werktagen; Meldepflicht des Vereins.</t>
        </is>
      </c>
      <c r="D16" s="13" t="n"/>
      <c r="E16" s="14" t="n"/>
    </row>
    <row r="17" ht="62" customHeight="1">
      <c r="A17" s="12" t="inlineStr">
        <is>
          <t>«Könnt ihr uns Kunden garantieren?»</t>
        </is>
      </c>
      <c r="B17" s="10" t="inlineStr">
        <is>
          <t>Nein — und das sagen wir offen. Wir erhöhen die Wahrscheinlichkeit, gefunden zu werden, weil wir Marketing und Sichtbarkeit übernehmen. Eine Zusage auf Kundenzahlen macht niemand seriös.</t>
        </is>
      </c>
      <c r="C17" s="10" t="inlineStr">
        <is>
          <t>Keine Erfolgsgarantie im Vertrag. Stattdessen: Reporting und Ausstieg nach 24 Monaten.</t>
        </is>
      </c>
      <c r="D17" s="13" t="n"/>
      <c r="E17" s="14" t="n"/>
    </row>
  </sheetData>
  <mergeCells count="5">
    <mergeCell ref="C16:E16"/>
    <mergeCell ref="C14:E14"/>
    <mergeCell ref="A5:E5"/>
    <mergeCell ref="C17:E17"/>
    <mergeCell ref="C15:E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 customWidth="1" min="1" max="1"/>
    <col width="34" customWidth="1" min="2" max="2"/>
    <col width="44" customWidth="1" min="3" max="3"/>
    <col width="18" customWidth="1" min="4" max="4"/>
    <col width="26" customWidth="1" min="5" max="5"/>
    <col width="26" customWidth="1" min="6" max="6"/>
  </cols>
  <sheetData>
    <row r="1">
      <c r="A1" s="1" t="inlineStr">
        <is>
          <t>Fahrplan über 90 Tage</t>
        </is>
      </c>
    </row>
    <row r="2">
      <c r="A2" s="2" t="inlineStr">
        <is>
          <t>Ziel: nach drei Monaten wissen wir, ob das Modell trägt — mit Zahlen statt Meinung.</t>
        </is>
      </c>
    </row>
    <row r="4" ht="28" customHeight="1">
      <c r="A4" s="5" t="inlineStr">
        <is>
          <t>Zeitraum</t>
        </is>
      </c>
      <c r="B4" s="5" t="inlineStr">
        <is>
          <t>Schritt</t>
        </is>
      </c>
      <c r="C4" s="5" t="inlineStr">
        <is>
          <t>Was konkret passiert</t>
        </is>
      </c>
      <c r="D4" s="5" t="inlineStr">
        <is>
          <t>Verantwortlich</t>
        </is>
      </c>
      <c r="E4" s="5" t="inlineStr">
        <is>
          <t>Fertig wenn</t>
        </is>
      </c>
      <c r="F4" s="5" t="inlineStr">
        <is>
          <t>Messgrösse</t>
        </is>
      </c>
    </row>
    <row r="5" ht="52" customHeight="1">
      <c r="A5" s="12" t="inlineStr">
        <is>
          <t>Woche 1–2</t>
        </is>
      </c>
      <c r="B5" s="10" t="inlineStr">
        <is>
          <t>Angebot fertig machen</t>
        </is>
      </c>
      <c r="C5" s="10" t="inlineStr">
        <is>
          <t>Staffelpreise festlegen, Vertragsentwurf mit Codes und Preisuntergrenze, eine Seite für Vereine auf der Website.</t>
        </is>
      </c>
      <c r="D5" s="10" t="inlineStr">
        <is>
          <t>Robert / Navid</t>
        </is>
      </c>
      <c r="E5" s="10" t="inlineStr">
        <is>
          <t>Vertrag und Preisliste stehen</t>
        </is>
      </c>
      <c r="F5" s="10" t="inlineStr">
        <is>
          <t>—</t>
        </is>
      </c>
    </row>
    <row r="6" ht="52" customHeight="1">
      <c r="A6" s="12" t="inlineStr">
        <is>
          <t>Woche 2</t>
        </is>
      </c>
      <c r="B6" s="10" t="inlineStr">
        <is>
          <t>Zielliste schneiden</t>
        </is>
      </c>
      <c r="C6" s="10" t="inlineStr">
        <is>
          <t>Aus den 414 Kontakten die 50 aussichtsreichsten ziehen: Golf und grosse Tennisclubs mit Mailadresse.</t>
        </is>
      </c>
      <c r="D6" s="10" t="inlineStr">
        <is>
          <t>Navid</t>
        </is>
      </c>
      <c r="E6" s="10" t="inlineStr">
        <is>
          <t>Liste mit 50 Vereinen steht</t>
        </is>
      </c>
      <c r="F6" s="10" t="inlineStr">
        <is>
          <t>50 Kontakte</t>
        </is>
      </c>
    </row>
    <row r="7" ht="52" customHeight="1">
      <c r="A7" s="12" t="inlineStr">
        <is>
          <t>Woche 3–4</t>
        </is>
      </c>
      <c r="B7" s="10" t="inlineStr">
        <is>
          <t>Erste Welle</t>
        </is>
      </c>
      <c r="C7" s="10" t="inlineStr">
        <is>
          <t>50 Vereine anschreiben, nach 4 Tagen telefonisch nachfassen. Gleiche Botschaft wie bei Coaches: mehr Sichtbarkeit, keine Garantie.</t>
        </is>
      </c>
      <c r="D7" s="10" t="inlineStr">
        <is>
          <t>Navid</t>
        </is>
      </c>
      <c r="E7" s="10" t="inlineStr">
        <is>
          <t>50 angeschrieben, 50 nachgefasst</t>
        </is>
      </c>
      <c r="F7" s="10" t="inlineStr">
        <is>
          <t>Antwortquote</t>
        </is>
      </c>
    </row>
    <row r="8" ht="52" customHeight="1">
      <c r="A8" s="12" t="inlineStr">
        <is>
          <t>Woche 5–8</t>
        </is>
      </c>
      <c r="B8" s="10" t="inlineStr">
        <is>
          <t>Gespräche führen</t>
        </is>
      </c>
      <c r="C8" s="10" t="inlineStr">
        <is>
          <t>Termine wahrnehmen, Blatt 2 und 6 als Gesprächsgrundlage nutzen, Einwände sauber beantworten.</t>
        </is>
      </c>
      <c r="D8" s="10" t="inlineStr">
        <is>
          <t>Robert</t>
        </is>
      </c>
      <c r="E8" s="10" t="inlineStr">
        <is>
          <t>mindestens 8 Termine</t>
        </is>
      </c>
      <c r="F8" s="10" t="inlineStr">
        <is>
          <t>Termine pro 50 Kontakte</t>
        </is>
      </c>
    </row>
    <row r="9" ht="52" customHeight="1">
      <c r="A9" s="12" t="inlineStr">
        <is>
          <t>Woche 6–10</t>
        </is>
      </c>
      <c r="B9" s="10" t="inlineStr">
        <is>
          <t>Drei Piloten gewinnen</t>
        </is>
      </c>
      <c r="C9" s="10" t="inlineStr">
        <is>
          <t>Drei Vereine zu Sonderkonditionen: erstes Jahr halber Preis gegen das Recht, sie als Referenz zu nennen.</t>
        </is>
      </c>
      <c r="D9" s="10" t="inlineStr">
        <is>
          <t>Robert / Navid</t>
        </is>
      </c>
      <c r="E9" s="10" t="inlineStr">
        <is>
          <t>3 unterschriebene Verträge</t>
        </is>
      </c>
      <c r="F9" s="10" t="inlineStr">
        <is>
          <t>Abschlussquote</t>
        </is>
      </c>
    </row>
    <row r="10" ht="52" customHeight="1">
      <c r="A10" s="12" t="inlineStr">
        <is>
          <t>Woche 9–12</t>
        </is>
      </c>
      <c r="B10" s="10" t="inlineStr">
        <is>
          <t>Belegen und entscheiden</t>
        </is>
      </c>
      <c r="C10" s="10" t="inlineStr">
        <is>
          <t>Anfragen pro Pilotverein messen, eine Fallstudie schreiben, Preis fixieren oder Modell verwerfen.</t>
        </is>
      </c>
      <c r="D10" s="10" t="inlineStr">
        <is>
          <t>Navid</t>
        </is>
      </c>
      <c r="E10" s="10" t="inlineStr">
        <is>
          <t>Fallstudie liegt vor</t>
        </is>
      </c>
      <c r="F10" s="10" t="inlineStr">
        <is>
          <t>Anfragen pro Verein und Monat</t>
        </is>
      </c>
    </row>
    <row r="12">
      <c r="A12" s="3" t="inlineStr">
        <is>
          <t>Abbruchkriterien — wann wir das Modell wieder einpacken</t>
        </is>
      </c>
    </row>
    <row r="13">
      <c r="A13" s="4" t="inlineStr">
        <is>
          <t>• Unter 8 % Antwortquote auf 50 saubere Kontakte: die Botschaft stimmt nicht, nicht der Markt.</t>
        </is>
      </c>
    </row>
    <row r="14">
      <c r="A14" s="4" t="inlineStr">
        <is>
          <t>• Null Abschlüsse nach 10 geführten Gesprächen: der Preis oder das Modell trägt nicht.</t>
        </is>
      </c>
    </row>
    <row r="15">
      <c r="A15" s="4" t="inlineStr">
        <is>
          <t>• Weniger als 2 Anfragen pro Pilotverein und Monat: der Verein verlängert nicht, egal wie gut das Gespräch war.</t>
        </is>
      </c>
    </row>
  </sheetData>
  <mergeCells count="3">
    <mergeCell ref="A13:F13"/>
    <mergeCell ref="A14:F14"/>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0" customWidth="1" min="1" max="1"/>
    <col width="20" customWidth="1" min="2" max="2"/>
    <col width="26" customWidth="1" min="3" max="3"/>
    <col width="62" customWidth="1" min="4" max="4"/>
  </cols>
  <sheetData>
    <row r="1">
      <c r="A1" s="1" t="inlineStr">
        <is>
          <t>Annahmen und Quellen</t>
        </is>
      </c>
    </row>
    <row r="2">
      <c r="A2" s="2" t="inlineStr">
        <is>
          <t>Was gemessen ist, was geschätzt ist, und woher es kommt.</t>
        </is>
      </c>
    </row>
    <row r="4" ht="28" customHeight="1">
      <c r="A4" s="5" t="inlineStr">
        <is>
          <t>Annahme</t>
        </is>
      </c>
      <c r="B4" s="5" t="inlineStr">
        <is>
          <t>Wert</t>
        </is>
      </c>
      <c r="C4" s="5" t="inlineStr">
        <is>
          <t>Art</t>
        </is>
      </c>
      <c r="D4" s="5" t="inlineStr">
        <is>
          <t>Herkunft</t>
        </is>
      </c>
    </row>
    <row r="5" ht="40" customHeight="1">
      <c r="A5" s="12" t="inlineStr">
        <is>
          <t>Einzelpreis pro Coach und Jahr</t>
        </is>
      </c>
      <c r="B5" s="10" t="inlineStr">
        <is>
          <t>CHF 399</t>
        </is>
      </c>
      <c r="C5" s="10" t="inlineStr">
        <is>
          <t>gesetzt</t>
        </is>
      </c>
      <c r="D5" s="10" t="inlineStr">
        <is>
          <t>Von euch genannt (Chat vom 29.07.2026).</t>
        </is>
      </c>
    </row>
    <row r="6" ht="40" customHeight="1">
      <c r="A6" s="12" t="inlineStr">
        <is>
          <t>Coaches pro Verein</t>
        </is>
      </c>
      <c r="B6" s="10" t="inlineStr">
        <is>
          <t>10–20, teils 40+</t>
        </is>
      </c>
      <c r="C6" s="10" t="inlineStr">
        <is>
          <t>eure Beobachtung</t>
        </is>
      </c>
      <c r="D6" s="10" t="inlineStr">
        <is>
          <t>Von euch genannt. Für Golf eher tief (3–8 Pros), für Eishockey und Schwimmen eher hoch — darum auf Blatt 3 pro Sportart änderbar.</t>
        </is>
      </c>
    </row>
    <row r="7" ht="40" customHeight="1">
      <c r="A7" s="12" t="inlineStr">
        <is>
          <t>Kontaktierbare Vereine</t>
        </is>
      </c>
      <c r="B7" s="10" t="inlineStr">
        <is>
          <t>414</t>
        </is>
      </c>
      <c r="C7" s="40" t="inlineStr">
        <is>
          <t>gemessen</t>
        </is>
      </c>
      <c r="D7" s="10" t="inlineStr">
        <is>
          <t>Eigene Liste vom 28.07.2026: Golf 103, Tennis 99, Schwimmen 180, Reiten und Eishockey 32.</t>
        </is>
      </c>
    </row>
    <row r="8" ht="40" customHeight="1">
      <c r="A8" s="12" t="inlineStr">
        <is>
          <t>Vereine im Markt CH</t>
        </is>
      </c>
      <c r="B8" s="10" t="inlineStr">
        <is>
          <t>rund 1'600 mit eigener Anlage</t>
        </is>
      </c>
      <c r="C8" s="41" t="inlineStr">
        <is>
          <t>recherchiert</t>
        </is>
      </c>
      <c r="D8" s="10" t="inlineStr">
        <is>
          <t>Swiss Tennis rund 900 Clubs, Swiss Golf über 90, Swiss Aquatics 175, Eishockey und Reitbetriebe geschätzt.</t>
        </is>
      </c>
    </row>
    <row r="9" ht="40" customHeight="1">
      <c r="A9" s="12" t="inlineStr">
        <is>
          <t>Sportvereine CH gesamt</t>
        </is>
      </c>
      <c r="B9" s="10" t="inlineStr">
        <is>
          <t>18'310 mit 2.2 Mio. Mitgliedschaften</t>
        </is>
      </c>
      <c r="C9" s="41" t="inlineStr">
        <is>
          <t>recherchiert</t>
        </is>
      </c>
      <c r="D9" s="10" t="inlineStr">
        <is>
          <t>Vereinsstudie 2022, Swiss Olympic.</t>
        </is>
      </c>
    </row>
    <row r="10" ht="40" customHeight="1">
      <c r="A10" s="12" t="inlineStr">
        <is>
          <t>Ø Einnahmen eines Sportvereins</t>
        </is>
      </c>
      <c r="B10" s="10" t="inlineStr">
        <is>
          <t>CHF 69'000 pro Jahr</t>
        </is>
      </c>
      <c r="C10" s="41" t="inlineStr">
        <is>
          <t>recherchiert</t>
        </is>
      </c>
      <c r="D10" s="10" t="inlineStr">
        <is>
          <t>Observatorium Sport und Bewegung Schweiz. Wichtig fürs Preisgespräch: ein 10k-Abo wäre bei einem Durchschnittsverein 14 % des gesamten Jahresbudgets.</t>
        </is>
      </c>
    </row>
    <row r="11" ht="40" customHeight="1">
      <c r="A11" s="12" t="inlineStr">
        <is>
          <t>Vereine ohne bezahlte Mitarbeitende</t>
        </is>
      </c>
      <c r="B11" s="10" t="inlineStr">
        <is>
          <t>82 %</t>
        </is>
      </c>
      <c r="C11" s="41" t="inlineStr">
        <is>
          <t>recherchiert</t>
        </is>
      </c>
      <c r="D11" s="10" t="inlineStr">
        <is>
          <t>Vereinsstudie 2022. Deshalb Staffelpreise statt Einheitspreis.</t>
        </is>
      </c>
    </row>
    <row r="12" ht="40" customHeight="1">
      <c r="A12" s="12" t="inlineStr">
        <is>
          <t>Antwortquote auf Kaltmail</t>
        </is>
      </c>
      <c r="B12" s="10" t="inlineStr">
        <is>
          <t>12 / 20 / 30 %</t>
        </is>
      </c>
      <c r="C12" s="42" t="inlineStr">
        <is>
          <t>Annahme</t>
        </is>
      </c>
      <c r="D12" s="10" t="inlineStr">
        <is>
          <t>Erfahrungswert B2B mit telefonischem Nachfassen. Im Pilot zu messen, nicht belegt.</t>
        </is>
      </c>
    </row>
    <row r="13" ht="40" customHeight="1">
      <c r="A13" s="12" t="inlineStr">
        <is>
          <t>Abschluss aus Antwort</t>
        </is>
      </c>
      <c r="B13" s="10" t="inlineStr">
        <is>
          <t>8 / 15 / 25 %</t>
        </is>
      </c>
      <c r="C13" s="42" t="inlineStr">
        <is>
          <t>Annahme</t>
        </is>
      </c>
      <c r="D13" s="10" t="inlineStr">
        <is>
          <t>Erfahrungswert. Im Pilot zu messen, nicht belegt.</t>
        </is>
      </c>
    </row>
    <row r="14" ht="40" customHeight="1">
      <c r="A14" s="12" t="inlineStr">
        <is>
          <t>Verlängerungsquote</t>
        </is>
      </c>
      <c r="B14" s="10" t="inlineStr">
        <is>
          <t>75 / 85 / 90 %</t>
        </is>
      </c>
      <c r="C14" s="42" t="inlineStr">
        <is>
          <t>Annahme</t>
        </is>
      </c>
      <c r="D14" s="10" t="inlineStr">
        <is>
          <t>Bei 24 Monaten Laufzeit. Nicht belegt.</t>
        </is>
      </c>
    </row>
    <row r="17">
      <c r="A17" s="3" t="inlineStr">
        <is>
          <t>Quellen</t>
        </is>
      </c>
    </row>
    <row r="18">
      <c r="A18" s="43" t="inlineStr">
        <is>
          <t>Vereinsstudie 2022, Swiss Olympic</t>
        </is>
      </c>
      <c r="B18" s="44" t="inlineStr">
        <is>
          <t>https://www.swissolympic.ch/dam/jcr:e13bfb8d-92a6-41a3-89e4-b80d30c2d23c/Vereinsstudie%202022_DE_Web.pdf</t>
        </is>
      </c>
    </row>
    <row r="19">
      <c r="A19" s="43" t="inlineStr">
        <is>
          <t>Vereinsfinanzen, Sportobservatorium</t>
        </is>
      </c>
      <c r="B19" s="44" t="inlineStr">
        <is>
          <t>https://www.sportobs.ch/inhalte/Indikatoren_PDF_neu/Ind_22_Sportobs.pdf</t>
        </is>
      </c>
    </row>
    <row r="20">
      <c r="A20" s="43" t="inlineStr">
        <is>
          <t>Swiss Aquatics, Mitgliedvereine</t>
        </is>
      </c>
      <c r="B20" s="44" t="inlineStr">
        <is>
          <t>https://www.swiss-aquatics.ch/verband/mitglieder/alle-mitgliedvereine/</t>
        </is>
      </c>
    </row>
    <row r="21">
      <c r="A21" s="43" t="inlineStr">
        <is>
          <t>Swiss Tennis</t>
        </is>
      </c>
      <c r="B21" s="44" t="inlineStr">
        <is>
          <t>https://www.swisstennis.ch/de/</t>
        </is>
      </c>
    </row>
    <row r="22">
      <c r="A22" s="43" t="inlineStr">
        <is>
          <t>Swiss Golf</t>
        </is>
      </c>
      <c r="B22" s="44" t="inlineStr">
        <is>
          <t>https://www.swissgolf.ch/</t>
        </is>
      </c>
    </row>
    <row r="24" ht="30" customHeight="1">
      <c r="A24" s="4" t="inlineStr">
        <is>
          <t>Alles in der Spalte «Annahme» ist noch nicht belegt. Diese vier Zahlen entscheiden über das ganze Modell — der 90-Tage-Pilot dient in erster Linie dazu, sie durch gemessene Werte zu ersetzen.</t>
        </is>
      </c>
    </row>
  </sheetData>
  <mergeCells count="6">
    <mergeCell ref="B19:D19"/>
    <mergeCell ref="B22:D22"/>
    <mergeCell ref="B18:D18"/>
    <mergeCell ref="B21:D21"/>
    <mergeCell ref="A24:D24"/>
    <mergeCell ref="B20:D20"/>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2026-07-29T08:17:51Z</dcterms:created>
  <dcterms:modified xsi:type="dcterms:W3CDTF">2026-07-29T08:17:51Z</dcterms:modified>
</cp:coreProperties>
</file>