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Auf einen Blick" sheetId="1" state="visible" r:id="rId1"/>
    <sheet name="2 Preise" sheetId="2" state="visible" r:id="rId2"/>
    <sheet name="3 Umsatz" sheetId="3" state="visible" r:id="rId3"/>
    <sheet name="4 Markt" sheetId="4" state="visible" r:id="rId4"/>
    <sheet name="5 Vorbereitung" sheetId="5" state="visible" r:id="rId5"/>
    <sheet name="6 Coach oder Verein" sheetId="6" state="visible" r:id="rId6"/>
    <sheet name="7 Fahrplan" sheetId="7" state="visible" r:id="rId7"/>
    <sheet name="8 Zahlen und Quelle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CHF&quot; #,##0"/>
    <numFmt numFmtId="165" formatCode="0 %"/>
  </numFmts>
  <fonts count="12">
    <font>
      <name val="Calibri"/>
      <family val="2"/>
      <color theme="1"/>
      <sz val="11"/>
      <scheme val="minor"/>
    </font>
    <font>
      <name val="Arial"/>
      <b val="1"/>
      <color rgb="0016302A"/>
      <sz val="18"/>
    </font>
    <font>
      <name val="Arial"/>
      <color rgb="005A6B65"/>
      <sz val="11"/>
    </font>
    <font>
      <name val="Arial"/>
      <b val="1"/>
      <color rgb="0016302A"/>
      <sz val="12"/>
    </font>
    <font>
      <name val="Arial"/>
      <sz val="11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10241E"/>
      <sz val="11"/>
    </font>
    <font>
      <name val="Arial"/>
      <b val="1"/>
      <color rgb="000000FF"/>
      <sz val="11"/>
    </font>
    <font>
      <name val="Arial"/>
      <color rgb="005A6B65"/>
      <sz val="10"/>
    </font>
    <font>
      <name val="Arial"/>
      <color rgb="000F6F5C"/>
      <sz val="10"/>
      <u val="single"/>
    </font>
  </fonts>
  <fills count="8">
    <fill>
      <patternFill/>
    </fill>
    <fill>
      <patternFill patternType="gray125"/>
    </fill>
    <fill>
      <patternFill patternType="solid">
        <fgColor rgb="0016302A"/>
      </patternFill>
    </fill>
    <fill>
      <patternFill patternType="solid">
        <fgColor rgb="00D6ECD9"/>
      </patternFill>
    </fill>
    <fill>
      <patternFill patternType="solid">
        <fgColor rgb="000F6F5C"/>
      </patternFill>
    </fill>
    <fill>
      <patternFill patternType="solid">
        <fgColor rgb="00E6F0EA"/>
      </patternFill>
    </fill>
    <fill>
      <patternFill patternType="solid">
        <fgColor rgb="00DCE6FA"/>
      </patternFill>
    </fill>
    <fill>
      <patternFill patternType="solid">
        <fgColor rgb="00FBE7C0"/>
      </patternFill>
    </fill>
  </fills>
  <borders count="6">
    <border>
      <left/>
      <right/>
      <top/>
      <bottom/>
      <diagonal/>
    </border>
    <border>
      <left style="thin">
        <color rgb="00C9D2CE"/>
      </left>
      <right style="thin">
        <color rgb="00C9D2CE"/>
      </right>
      <top style="thin">
        <color rgb="00C9D2CE"/>
      </top>
      <bottom style="thin">
        <color rgb="00C9D2CE"/>
      </bottom>
    </border>
    <border>
      <left/>
      <right/>
      <top style="thin">
        <color rgb="00C9D2CE"/>
      </top>
      <bottom/>
      <diagonal/>
    </border>
    <border>
      <left/>
      <right style="thin">
        <color rgb="00C9D2CE"/>
      </right>
      <top style="thin">
        <color rgb="00C9D2CE"/>
      </top>
      <bottom/>
      <diagonal/>
    </border>
    <border>
      <left/>
      <right/>
      <top style="thin">
        <color rgb="00C9D2CE"/>
      </top>
      <bottom style="thin">
        <color rgb="00C9D2CE"/>
      </bottom>
      <diagonal/>
    </border>
    <border>
      <left/>
      <right style="thin">
        <color rgb="00C9D2CE"/>
      </right>
      <top style="thin">
        <color rgb="00C9D2CE"/>
      </top>
      <bottom style="thin">
        <color rgb="00C9D2CE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164" fontId="6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center" wrapText="1"/>
    </xf>
    <xf numFmtId="164" fontId="9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3" fontId="6" fillId="0" borderId="1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165" fontId="9" fillId="6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Vereinspreis vs. Einzelanmeldungen (CHF / Jahr)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 Preise'!C15</f>
            </strRef>
          </tx>
          <spPr>
            <a:ln>
              <a:prstDash val="solid"/>
            </a:ln>
          </spPr>
          <cat>
            <numRef>
              <f>'2 Preise'!$A$16:$A$22</f>
            </numRef>
          </cat>
          <val>
            <numRef>
              <f>'2 Preise'!$C$16:$C$22</f>
            </numRef>
          </val>
        </ser>
        <ser>
          <idx val="1"/>
          <order val="1"/>
          <tx>
            <strRef>
              <f>'2 Preise'!D15</f>
            </strRef>
          </tx>
          <spPr>
            <a:ln>
              <a:prstDash val="solid"/>
            </a:ln>
          </spPr>
          <cat>
            <numRef>
              <f>'2 Preise'!$A$16:$A$22</f>
            </numRef>
          </cat>
          <val>
            <numRef>
              <f>'2 Preise'!$D$16:$D$22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Anzahl Coaches im Verein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 pro Jahr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Umsatz je Szenario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 Umsatz'!D27</f>
            </strRef>
          </tx>
          <spPr>
            <a:ln>
              <a:prstDash val="solid"/>
            </a:ln>
          </spPr>
          <cat>
            <numRef>
              <f>'3 Umsatz'!$A$28:$A$30</f>
            </numRef>
          </cat>
          <val>
            <numRef>
              <f>'3 Umsatz'!$D$28:$D$30</f>
            </numRef>
          </val>
        </ser>
        <ser>
          <idx val="1"/>
          <order val="1"/>
          <tx>
            <strRef>
              <f>'3 Umsatz'!E27</f>
            </strRef>
          </tx>
          <spPr>
            <a:ln>
              <a:prstDash val="solid"/>
            </a:ln>
          </spPr>
          <cat>
            <numRef>
              <f>'3 Umsatz'!$A$28:$A$30</f>
            </numRef>
          </cat>
          <val>
            <numRef>
              <f>'3 Umsatz'!$E$28:$E$30</f>
            </numRef>
          </val>
        </ser>
        <ser>
          <idx val="2"/>
          <order val="2"/>
          <tx>
            <strRef>
              <f>'3 Umsatz'!F27</f>
            </strRef>
          </tx>
          <spPr>
            <a:ln>
              <a:prstDash val="solid"/>
            </a:ln>
          </spPr>
          <cat>
            <numRef>
              <f>'3 Umsatz'!$A$28:$A$30</f>
            </numRef>
          </cat>
          <val>
            <numRef>
              <f>'3 Umsatz'!$F$28:$F$30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Kontaktierbare Vereine nach Sportart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 Markt'!B4</f>
            </strRef>
          </tx>
          <spPr>
            <a:ln>
              <a:prstDash val="solid"/>
            </a:ln>
          </spPr>
          <cat>
            <numRef>
              <f>'4 Markt'!$A$5:$A$8</f>
            </numRef>
          </cat>
          <val>
            <numRef>
              <f>'4 Markt'!$B$5:$B$8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swissolympic.ch/dam/jcr:e13bfb8d-92a6-41a3-89e4-b80d30c2d23c/Vereinsstudie%202022_DE_Web.pdf" TargetMode="External" Id="rId1" /><Relationship Type="http://schemas.openxmlformats.org/officeDocument/2006/relationships/hyperlink" Target="https://www.sportobs.ch/inhalte/Indikatoren_PDF_neu/Ind_22_Sportobs.pdf" TargetMode="External" Id="rId2" /><Relationship Type="http://schemas.openxmlformats.org/officeDocument/2006/relationships/hyperlink" Target="https://www.sportobs.ch/inhalte/Downloads/Bro_Sport_Schweiz_2020_d_WEB.pdf" TargetMode="External" Id="rId3" /><Relationship Type="http://schemas.openxmlformats.org/officeDocument/2006/relationships/hyperlink" Target="https://www.swiss-aquatics.ch/verband/mitglieder/alle-mitgliedvereine/" TargetMode="External" Id="rId4" /><Relationship Type="http://schemas.openxmlformats.org/officeDocument/2006/relationships/hyperlink" Target="https://www.swisstennis.ch/de/" TargetMode="External" Id="rId5" /><Relationship Type="http://schemas.openxmlformats.org/officeDocument/2006/relationships/hyperlink" Target="https://www.swissgolf.ch/" TargetMode="External" Id="rId6" /><Relationship Type="http://schemas.openxmlformats.org/officeDocument/2006/relationships/hyperlink" Target="https://www.graubuenden.ch/de/news/saisonzeiten-golfplaetze" TargetMode="External" Id="rId7" /><Relationship Type="http://schemas.openxmlformats.org/officeDocument/2006/relationships/hyperlink" Target="https://www.sihf.ch/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26" customHeight="1">
      <c r="A1" s="1" t="inlineStr">
        <is>
          <t>Vereine als Kunden</t>
        </is>
      </c>
    </row>
    <row r="2">
      <c r="A2" s="2" t="inlineStr">
        <is>
          <t>Coach Grid · Stand 29.07.2026 · Zahlen aus Blatt 2 bis 4</t>
        </is>
      </c>
    </row>
    <row r="4">
      <c r="A4" s="3" t="inlineStr">
        <is>
          <t>Die Chance</t>
        </is>
      </c>
    </row>
    <row r="5" ht="42" customHeight="1">
      <c r="A5" s="4" t="inlineStr">
        <is>
          <t>Ein einzelner Vertrag mit einem Verein bringt 10 bis 40 Coaches auf einmal — und damit 10× mehr Umsatz als eine Einzelanmeldung. 414 Vereine stehen bereits in unserer Liste mit Telefon und E-Mail-Adresse. Die zahlungsfähigen Vereine in der Schweiz: rund 3'500. TAM: CHF 1–4 Mio. ARR.</t>
        </is>
      </c>
      <c r="B5" s="5" t="n"/>
      <c r="C5" s="5" t="n"/>
      <c r="D5" s="5" t="n"/>
      <c r="E5" s="6" t="n"/>
    </row>
    <row r="7">
      <c r="A7" s="3" t="inlineStr">
        <is>
          <t>Umsatz über drei Jahre</t>
        </is>
      </c>
    </row>
    <row r="8" ht="30" customHeight="1">
      <c r="A8" s="7" t="inlineStr">
        <is>
          <t>Szenario</t>
        </is>
      </c>
      <c r="B8" s="7" t="inlineStr">
        <is>
          <t>Vereine im Jahr 1</t>
        </is>
      </c>
      <c r="C8" s="7" t="inlineStr">
        <is>
          <t>Umsatz Jahr 1</t>
        </is>
      </c>
      <c r="D8" s="7" t="inlineStr">
        <is>
          <t>Umsatz Jahr 3</t>
        </is>
      </c>
      <c r="E8" s="7" t="inlineStr">
        <is>
          <t>3 Jahre zusammen</t>
        </is>
      </c>
    </row>
    <row r="9" ht="22" customHeight="1">
      <c r="A9" s="8" t="inlineStr">
        <is>
          <t>Vorsichtig</t>
        </is>
      </c>
      <c r="B9" s="9">
        <f>'3 Umsatz'!D16</f>
        <v/>
      </c>
      <c r="C9" s="10">
        <f>'3 Umsatz'!D17</f>
        <v/>
      </c>
      <c r="D9" s="10">
        <f>'3 Umsatz'!D21</f>
        <v/>
      </c>
      <c r="E9" s="11">
        <f>'3 Umsatz'!D22</f>
        <v/>
      </c>
    </row>
    <row r="10" ht="22" customHeight="1">
      <c r="A10" s="8" t="inlineStr">
        <is>
          <t>Realistisch</t>
        </is>
      </c>
      <c r="B10" s="9">
        <f>'3 Umsatz'!E16</f>
        <v/>
      </c>
      <c r="C10" s="10">
        <f>'3 Umsatz'!E17</f>
        <v/>
      </c>
      <c r="D10" s="10">
        <f>'3 Umsatz'!E21</f>
        <v/>
      </c>
      <c r="E10" s="12">
        <f>'3 Umsatz'!E22</f>
        <v/>
      </c>
    </row>
    <row r="11" ht="22" customHeight="1">
      <c r="A11" s="8" t="inlineStr">
        <is>
          <t>Optimistisch</t>
        </is>
      </c>
      <c r="B11" s="9">
        <f>'3 Umsatz'!F16</f>
        <v/>
      </c>
      <c r="C11" s="10">
        <f>'3 Umsatz'!F17</f>
        <v/>
      </c>
      <c r="D11" s="10">
        <f>'3 Umsatz'!F21</f>
        <v/>
      </c>
      <c r="E11" s="11">
        <f>'3 Umsatz'!F22</f>
        <v/>
      </c>
    </row>
    <row r="13">
      <c r="A13" s="3" t="inlineStr">
        <is>
          <t>Die drei wichtigsten Erkenntnisse</t>
        </is>
      </c>
    </row>
    <row r="14" ht="30" customHeight="1">
      <c r="A14" s="7" t="inlineStr">
        <is>
          <t>Erkenntnis</t>
        </is>
      </c>
      <c r="B14" s="7" t="inlineStr">
        <is>
          <t>Was das heisst</t>
        </is>
      </c>
      <c r="C14" s="7" t="inlineStr"/>
      <c r="D14" s="7" t="inlineStr"/>
      <c r="E14" s="7" t="inlineStr"/>
    </row>
    <row r="15" ht="52" customHeight="1">
      <c r="A15" s="13" t="inlineStr">
        <is>
          <t>Ein Vereinsvertrag = 10× mehr Umsatz als ein Einzelcoach</t>
        </is>
      </c>
      <c r="B15" s="4" t="inlineStr">
        <is>
          <t>Ein Verein mit 10 Coaches zahlt CHF 4'900 pro Jahr statt zehnmal CHF 399. Pro Abschluss entsteht mehr Umsatz — bei weniger Aufwand für Akquise und Betreuung. Das Vereinspaket beinhaltet Club-Dashboard und Vereinsprofil, darum ist der Preis pro Coach höher (Blatt 2).</t>
        </is>
      </c>
      <c r="C15" s="5" t="n"/>
      <c r="D15" s="5" t="n"/>
      <c r="E15" s="6" t="n"/>
    </row>
    <row r="16" ht="52" customHeight="1">
      <c r="A16" s="13" t="inlineStr">
        <is>
          <t>Fokus auf grosse Vereine: 20 reichen für CHF 180'000</t>
        </is>
      </c>
      <c r="B16" s="4" t="inlineStr">
        <is>
          <t>20 Vereine im M-Paket (10 Coaches, CHF 4'900/Jahr) ergeben CHF 98'000. Mit Clubs im L-Paket sind CHF 180'000 allein im Jahr 1 erreichbar — bei einem Bruchteil des Akquiseaufwands gegenüber hunderten Einzelcoaches (Blatt 3).</t>
        </is>
      </c>
      <c r="C16" s="5" t="n"/>
      <c r="D16" s="5" t="n"/>
      <c r="E16" s="6" t="n"/>
    </row>
    <row r="17" ht="52" customHeight="1">
      <c r="A17" s="13" t="inlineStr">
        <is>
          <t>Zwei Sportarten decken das ganze Jahr</t>
        </is>
      </c>
      <c r="B17" s="4" t="inlineStr">
        <is>
          <t>Golf läuft April bis Oktober, Eishockey September bis April. Wer beide Sportarten im Kundenstamm hat, hat zwölf Monate Anfragen statt einer toten Wintersaison — eine Kombination, die kein einzelner Coach bieten kann (Blatt 4).</t>
        </is>
      </c>
      <c r="C17" s="5" t="n"/>
      <c r="D17" s="5" t="n"/>
      <c r="E17" s="6" t="n"/>
    </row>
    <row r="19" ht="58" customHeight="1">
      <c r="A19" s="14" t="inlineStr">
        <is>
          <t>FAZIT</t>
        </is>
      </c>
      <c r="B19" s="15" t="inlineStr">
        <is>
          <t>Das Modell ist konkret: 414 Vereine sind bereits kontaktierbar, der erste Umsatz ist in 90 Tagen erreichbar — ohne neue Entwicklung. Im realistischen Fall stehen nach drei Jahren rund CHF 470'000 auf dem Konto. Nächster Schritt: 50 Golfclubs anschreiben, drei Pilotkunden gewinnen, Zahlen messen (Blatt 7).</t>
        </is>
      </c>
      <c r="C19" s="5" t="n"/>
      <c r="D19" s="5" t="n"/>
      <c r="E19" s="6" t="n"/>
    </row>
  </sheetData>
  <mergeCells count="5">
    <mergeCell ref="B17:E17"/>
    <mergeCell ref="B16:E16"/>
    <mergeCell ref="B15:E15"/>
    <mergeCell ref="A5:E5"/>
    <mergeCell ref="B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6" customWidth="1" min="6" max="6"/>
  </cols>
  <sheetData>
    <row r="1" ht="26" customHeight="1">
      <c r="A1" s="1" t="inlineStr">
        <is>
          <t>Preise</t>
        </is>
      </c>
    </row>
    <row r="2">
      <c r="A2" s="2" t="inlineStr">
        <is>
          <t>Einzelcoach CHF 399 / Jahr. Vereine zahlen pro Coach einen Aufschlag — dafür erhalten sie Club-Dashboard, zentrale Abrechnung und Vereinsprofil.</t>
        </is>
      </c>
    </row>
    <row r="4">
      <c r="A4" s="8" t="inlineStr">
        <is>
          <t>Einzelcoach — Preis pro Jahr (heute)</t>
        </is>
      </c>
      <c r="B4" s="16" t="n">
        <v>399</v>
      </c>
      <c r="C4" s="17" t="inlineStr">
        <is>
          <t>Eingabe</t>
        </is>
      </c>
    </row>
    <row r="6">
      <c r="A6" s="3" t="inlineStr">
        <is>
          <t>Vereinspakete — Preis pro Coach und Jahr</t>
        </is>
      </c>
    </row>
    <row r="7" ht="30" customHeight="1">
      <c r="A7" s="7" t="inlineStr">
        <is>
          <t>Stufe</t>
        </is>
      </c>
      <c r="B7" s="7" t="inlineStr">
        <is>
          <t>Coaches</t>
        </is>
      </c>
      <c r="C7" s="7" t="inlineStr">
        <is>
          <t>Pro Coach / Jahr</t>
        </is>
      </c>
      <c r="D7" s="7" t="inlineStr">
        <is>
          <t>Monatlich</t>
        </is>
      </c>
      <c r="E7" s="7" t="inlineStr">
        <is>
          <t>Jahresbeispiel</t>
        </is>
      </c>
      <c r="F7" s="7" t="inlineStr">
        <is>
          <t>Aufschlag vs. Einzelcoach</t>
        </is>
      </c>
    </row>
    <row r="8" ht="22" customHeight="1">
      <c r="A8" s="18" t="inlineStr">
        <is>
          <t>S</t>
        </is>
      </c>
      <c r="B8" s="19" t="inlineStr">
        <is>
          <t>1 – 5</t>
        </is>
      </c>
      <c r="C8" s="16" t="n">
        <v>549</v>
      </c>
      <c r="D8" s="20">
        <f>C8/12</f>
        <v/>
      </c>
      <c r="E8" s="21">
        <f>C8*3</f>
        <v/>
      </c>
      <c r="F8" s="22">
        <f>(C8-$B$4)/$B$4</f>
        <v/>
      </c>
    </row>
    <row r="9" ht="22" customHeight="1">
      <c r="A9" s="18" t="inlineStr">
        <is>
          <t>M</t>
        </is>
      </c>
      <c r="B9" s="19" t="inlineStr">
        <is>
          <t>6 – 15</t>
        </is>
      </c>
      <c r="C9" s="16" t="n">
        <v>490</v>
      </c>
      <c r="D9" s="20">
        <f>C9/12</f>
        <v/>
      </c>
      <c r="E9" s="21">
        <f>C9*10</f>
        <v/>
      </c>
      <c r="F9" s="22">
        <f>(C9-$B$4)/$B$4</f>
        <v/>
      </c>
    </row>
    <row r="10" ht="22" customHeight="1">
      <c r="A10" s="18" t="inlineStr">
        <is>
          <t>L</t>
        </is>
      </c>
      <c r="B10" s="19" t="inlineStr">
        <is>
          <t>16 – 30</t>
        </is>
      </c>
      <c r="C10" s="16" t="n">
        <v>449</v>
      </c>
      <c r="D10" s="20">
        <f>C10/12</f>
        <v/>
      </c>
      <c r="E10" s="21">
        <f>C10*20</f>
        <v/>
      </c>
      <c r="F10" s="22">
        <f>(C10-$B$4)/$B$4</f>
        <v/>
      </c>
    </row>
    <row r="11" ht="22" customHeight="1">
      <c r="A11" s="18" t="inlineStr">
        <is>
          <t>XL</t>
        </is>
      </c>
      <c r="B11" s="19" t="inlineStr">
        <is>
          <t>ab 31</t>
        </is>
      </c>
      <c r="C11" s="16" t="n">
        <v>420</v>
      </c>
      <c r="D11" s="20">
        <f>C11/12</f>
        <v/>
      </c>
      <c r="E11" s="21">
        <f>C11*35</f>
        <v/>
      </c>
      <c r="F11" s="22">
        <f>(C11-$B$4)/$B$4</f>
        <v/>
      </c>
    </row>
    <row r="12" ht="28" customHeight="1">
      <c r="A12" s="23" t="inlineStr">
        <is>
          <t>Jahresbeispiel: S = 3 Coaches (CHF 1'647/Jahr = CHF 137/Monat), M = 10, L = 20, XL = 35. Einstiegspreis ~0.8 % eines typischen Golfclub-Budgets (CHF 200'000+). Inklusive: Club-Dashboard, Sammelrechnung, Analytics, Vereinsprofil auf thecoachgrid.com.</t>
        </is>
      </c>
      <c r="B12" s="5" t="n"/>
      <c r="C12" s="5" t="n"/>
      <c r="D12" s="5" t="n"/>
      <c r="E12" s="5" t="n"/>
      <c r="F12" s="6" t="n"/>
    </row>
    <row r="14">
      <c r="A14" s="3" t="inlineStr">
        <is>
          <t>Jahreskosten im Vergleich: Vereinspaket vs. Einzelanmeldungen</t>
        </is>
      </c>
    </row>
    <row r="15" ht="30" customHeight="1">
      <c r="A15" s="7" t="inlineStr">
        <is>
          <t>Coaches</t>
        </is>
      </c>
      <c r="B15" s="7" t="inlineStr">
        <is>
          <t>Stufe</t>
        </is>
      </c>
      <c r="C15" s="7" t="inlineStr">
        <is>
          <t>Vereinspreis total</t>
        </is>
      </c>
      <c r="D15" s="7" t="inlineStr">
        <is>
          <t>Einzeln total</t>
        </is>
      </c>
      <c r="E15" s="7" t="inlineStr">
        <is>
          <t>Mehrkosten</t>
        </is>
      </c>
      <c r="F15" s="7" t="inlineStr">
        <is>
          <t>Aufschlag</t>
        </is>
      </c>
    </row>
    <row r="16" ht="20" customHeight="1">
      <c r="A16" s="24" t="n">
        <v>3</v>
      </c>
      <c r="B16" s="19" t="inlineStr">
        <is>
          <t>S</t>
        </is>
      </c>
      <c r="C16" s="20">
        <f>3*$C$8</f>
        <v/>
      </c>
      <c r="D16" s="20">
        <f>3*$B$4</f>
        <v/>
      </c>
      <c r="E16" s="25">
        <f>C16-D16</f>
        <v/>
      </c>
      <c r="F16" s="22">
        <f>(C16-D16)/D16</f>
        <v/>
      </c>
    </row>
    <row r="17" ht="20" customHeight="1">
      <c r="A17" s="24" t="n">
        <v>5</v>
      </c>
      <c r="B17" s="19" t="inlineStr">
        <is>
          <t>S</t>
        </is>
      </c>
      <c r="C17" s="20">
        <f>5*$C$8</f>
        <v/>
      </c>
      <c r="D17" s="20">
        <f>5*$B$4</f>
        <v/>
      </c>
      <c r="E17" s="25">
        <f>C17-D17</f>
        <v/>
      </c>
      <c r="F17" s="22">
        <f>(C17-D17)/D17</f>
        <v/>
      </c>
    </row>
    <row r="18" ht="20" customHeight="1">
      <c r="A18" s="24" t="n">
        <v>10</v>
      </c>
      <c r="B18" s="19" t="inlineStr">
        <is>
          <t>M</t>
        </is>
      </c>
      <c r="C18" s="20">
        <f>10*$C$9</f>
        <v/>
      </c>
      <c r="D18" s="20">
        <f>10*$B$4</f>
        <v/>
      </c>
      <c r="E18" s="25">
        <f>C18-D18</f>
        <v/>
      </c>
      <c r="F18" s="22">
        <f>(C18-D18)/D18</f>
        <v/>
      </c>
    </row>
    <row r="19" ht="20" customHeight="1">
      <c r="A19" s="24" t="n">
        <v>15</v>
      </c>
      <c r="B19" s="19" t="inlineStr">
        <is>
          <t>M</t>
        </is>
      </c>
      <c r="C19" s="20">
        <f>15*$C$9</f>
        <v/>
      </c>
      <c r="D19" s="20">
        <f>15*$B$4</f>
        <v/>
      </c>
      <c r="E19" s="25">
        <f>C19-D19</f>
        <v/>
      </c>
      <c r="F19" s="22">
        <f>(C19-D19)/D19</f>
        <v/>
      </c>
    </row>
    <row r="20" ht="20" customHeight="1">
      <c r="A20" s="24" t="n">
        <v>20</v>
      </c>
      <c r="B20" s="19" t="inlineStr">
        <is>
          <t>L</t>
        </is>
      </c>
      <c r="C20" s="20">
        <f>20*$C$10</f>
        <v/>
      </c>
      <c r="D20" s="20">
        <f>20*$B$4</f>
        <v/>
      </c>
      <c r="E20" s="25">
        <f>C20-D20</f>
        <v/>
      </c>
      <c r="F20" s="22">
        <f>(C20-D20)/D20</f>
        <v/>
      </c>
    </row>
    <row r="21" ht="20" customHeight="1">
      <c r="A21" s="24" t="n">
        <v>30</v>
      </c>
      <c r="B21" s="19" t="inlineStr">
        <is>
          <t>L</t>
        </is>
      </c>
      <c r="C21" s="20">
        <f>30*$C$10</f>
        <v/>
      </c>
      <c r="D21" s="20">
        <f>30*$B$4</f>
        <v/>
      </c>
      <c r="E21" s="25">
        <f>C21-D21</f>
        <v/>
      </c>
      <c r="F21" s="22">
        <f>(C21-D21)/D21</f>
        <v/>
      </c>
    </row>
    <row r="22" ht="20" customHeight="1">
      <c r="A22" s="24" t="n">
        <v>40</v>
      </c>
      <c r="B22" s="19" t="inlineStr">
        <is>
          <t>XL</t>
        </is>
      </c>
      <c r="C22" s="20">
        <f>40*$C$11</f>
        <v/>
      </c>
      <c r="D22" s="20">
        <f>40*$B$4</f>
        <v/>
      </c>
      <c r="E22" s="25">
        <f>C22-D22</f>
        <v/>
      </c>
      <c r="F22" s="22">
        <f>(C22-D22)/D22</f>
        <v/>
      </c>
    </row>
    <row r="25" ht="58" customHeight="1">
      <c r="A25" s="14" t="inlineStr">
        <is>
          <t>FAZIT</t>
        </is>
      </c>
      <c r="B25" s="15" t="inlineStr">
        <is>
          <t>Der Einstieg liegt bei CHF 1'647/Jahr (3 Coaches, Stufe S) — das sind CHF 137/Monat und weniger als 1 % eines typischen Golfclub-Budgets. Für Coach Grid bedeutet jeder Vereinsvertrag mehr Umsatz pro Abschluss als zehn Einzelanmeldungen. Zusätzliches Modell im Aufbau: Coaches geben einen kleinen Anteil ihrer Buchungseinnahmen ab — der Verein verdient mit und hat damit einen eigenen Anreiz, seine Coaches aktiv zu platzieren.</t>
        </is>
      </c>
      <c r="C25" s="5" t="n"/>
      <c r="D25" s="5" t="n"/>
      <c r="E25" s="5" t="n"/>
      <c r="F25" s="6" t="n"/>
    </row>
  </sheetData>
  <mergeCells count="2">
    <mergeCell ref="B25:F25"/>
    <mergeCell ref="A12:F1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20" customWidth="1" min="4" max="4"/>
    <col width="20" customWidth="1" min="5" max="5"/>
    <col width="20" customWidth="1" min="6" max="6"/>
  </cols>
  <sheetData>
    <row r="1" ht="26" customHeight="1">
      <c r="A1" s="1" t="inlineStr">
        <is>
          <t>Umsatz</t>
        </is>
      </c>
    </row>
    <row r="2">
      <c r="A2" s="2" t="inlineStr">
        <is>
          <t>Blau ist Eingabe. Wer dort etwas ändert, sieht sofort die Wirkung.</t>
        </is>
      </c>
    </row>
    <row r="4">
      <c r="A4" s="3" t="inlineStr">
        <is>
          <t>Annahmen</t>
        </is>
      </c>
    </row>
    <row r="5" ht="30" customHeight="1">
      <c r="A5" s="7" t="inlineStr"/>
      <c r="B5" s="7" t="inlineStr"/>
      <c r="C5" s="7" t="inlineStr"/>
      <c r="D5" s="7" t="inlineStr">
        <is>
          <t>Vorsichtig</t>
        </is>
      </c>
      <c r="E5" s="7" t="inlineStr">
        <is>
          <t>Realistisch</t>
        </is>
      </c>
      <c r="F5" s="7" t="inlineStr">
        <is>
          <t>Optimistisch</t>
        </is>
      </c>
    </row>
    <row r="6" ht="20" customHeight="1">
      <c r="A6" s="26" t="inlineStr">
        <is>
          <t>Vereine angeschrieben</t>
        </is>
      </c>
      <c r="B6" s="5" t="n"/>
      <c r="C6" s="6" t="n"/>
      <c r="D6" s="27" t="n">
        <v>200</v>
      </c>
      <c r="E6" s="27" t="n">
        <v>350</v>
      </c>
      <c r="F6" s="27" t="n">
        <v>414</v>
      </c>
    </row>
    <row r="7" ht="20" customHeight="1">
      <c r="A7" s="26" t="inlineStr">
        <is>
          <t>davon antworten</t>
        </is>
      </c>
      <c r="B7" s="5" t="n"/>
      <c r="C7" s="6" t="n"/>
      <c r="D7" s="28" t="n">
        <v>0.12</v>
      </c>
      <c r="E7" s="28" t="n">
        <v>0.2</v>
      </c>
      <c r="F7" s="28" t="n">
        <v>0.3</v>
      </c>
    </row>
    <row r="8" ht="20" customHeight="1">
      <c r="A8" s="26" t="inlineStr">
        <is>
          <t>davon werden Kunde</t>
        </is>
      </c>
      <c r="B8" s="5" t="n"/>
      <c r="C8" s="6" t="n"/>
      <c r="D8" s="28" t="n">
        <v>0.08</v>
      </c>
      <c r="E8" s="28" t="n">
        <v>0.15</v>
      </c>
      <c r="F8" s="28" t="n">
        <v>0.25</v>
      </c>
    </row>
    <row r="9" ht="20" customHeight="1">
      <c r="A9" s="26" t="inlineStr">
        <is>
          <t>Preis pro Verein und Jahr</t>
        </is>
      </c>
      <c r="B9" s="5" t="n"/>
      <c r="C9" s="6" t="n"/>
      <c r="D9" s="16" t="n">
        <v>2200</v>
      </c>
      <c r="E9" s="16" t="n">
        <v>4900</v>
      </c>
      <c r="F9" s="16" t="n">
        <v>9000</v>
      </c>
    </row>
    <row r="10" ht="20" customHeight="1">
      <c r="A10" s="26" t="inlineStr">
        <is>
          <t>bleiben im Folgejahr</t>
        </is>
      </c>
      <c r="B10" s="5" t="n"/>
      <c r="C10" s="6" t="n"/>
      <c r="D10" s="28" t="n">
        <v>0.75</v>
      </c>
      <c r="E10" s="28" t="n">
        <v>0.85</v>
      </c>
      <c r="F10" s="28" t="n">
        <v>0.9</v>
      </c>
    </row>
    <row r="11" ht="20" customHeight="1">
      <c r="A11" s="26" t="inlineStr">
        <is>
          <t>neue Vereine im Jahr 2</t>
        </is>
      </c>
      <c r="B11" s="5" t="n"/>
      <c r="C11" s="6" t="n"/>
      <c r="D11" s="27" t="n">
        <v>8</v>
      </c>
      <c r="E11" s="27" t="n">
        <v>20</v>
      </c>
      <c r="F11" s="27" t="n">
        <v>45</v>
      </c>
    </row>
    <row r="12" ht="20" customHeight="1">
      <c r="A12" s="26" t="inlineStr">
        <is>
          <t>neue Vereine im Jahr 3</t>
        </is>
      </c>
      <c r="B12" s="5" t="n"/>
      <c r="C12" s="6" t="n"/>
      <c r="D12" s="27" t="n">
        <v>10</v>
      </c>
      <c r="E12" s="27" t="n">
        <v>30</v>
      </c>
      <c r="F12" s="27" t="n">
        <v>70</v>
      </c>
    </row>
    <row r="14">
      <c r="A14" s="3" t="inlineStr">
        <is>
          <t>Ergebnis</t>
        </is>
      </c>
    </row>
    <row r="15" ht="30" customHeight="1">
      <c r="A15" s="7" t="inlineStr"/>
      <c r="B15" s="7" t="inlineStr"/>
      <c r="C15" s="7" t="inlineStr"/>
      <c r="D15" s="7" t="inlineStr">
        <is>
          <t>Vorsichtig</t>
        </is>
      </c>
      <c r="E15" s="7" t="inlineStr">
        <is>
          <t>Realistisch</t>
        </is>
      </c>
      <c r="F15" s="7" t="inlineStr">
        <is>
          <t>Optimistisch</t>
        </is>
      </c>
    </row>
    <row r="16" ht="20" customHeight="1">
      <c r="A16" s="26" t="inlineStr">
        <is>
          <t>Vereine als Kunde, Jahr 1</t>
        </is>
      </c>
      <c r="B16" s="5" t="n"/>
      <c r="C16" s="6" t="n"/>
      <c r="D16" s="29">
        <f>ROUND(D6*D7*D8,0)</f>
        <v/>
      </c>
      <c r="E16" s="29">
        <f>ROUND(E6*E7*E8,0)</f>
        <v/>
      </c>
      <c r="F16" s="29">
        <f>ROUND(F6*F7*F8,0)</f>
        <v/>
      </c>
    </row>
    <row r="17" ht="20" customHeight="1">
      <c r="A17" s="26" t="inlineStr">
        <is>
          <t>Umsatz Jahr 1</t>
        </is>
      </c>
      <c r="B17" s="5" t="n"/>
      <c r="C17" s="6" t="n"/>
      <c r="D17" s="20">
        <f>D16*D9</f>
        <v/>
      </c>
      <c r="E17" s="20">
        <f>E16*E9</f>
        <v/>
      </c>
      <c r="F17" s="20">
        <f>F16*F9</f>
        <v/>
      </c>
    </row>
    <row r="18" ht="20" customHeight="1">
      <c r="A18" s="26" t="inlineStr">
        <is>
          <t>Vereine als Kunde, Jahr 2</t>
        </is>
      </c>
      <c r="B18" s="5" t="n"/>
      <c r="C18" s="6" t="n"/>
      <c r="D18" s="29">
        <f>ROUND(D16*D10+D11,0)</f>
        <v/>
      </c>
      <c r="E18" s="29">
        <f>ROUND(E16*E10+E11,0)</f>
        <v/>
      </c>
      <c r="F18" s="29">
        <f>ROUND(F16*F10+F11,0)</f>
        <v/>
      </c>
    </row>
    <row r="19" ht="20" customHeight="1">
      <c r="A19" s="26" t="inlineStr">
        <is>
          <t>Umsatz Jahr 2</t>
        </is>
      </c>
      <c r="B19" s="5" t="n"/>
      <c r="C19" s="6" t="n"/>
      <c r="D19" s="20">
        <f>D18*D9</f>
        <v/>
      </c>
      <c r="E19" s="20">
        <f>E18*E9</f>
        <v/>
      </c>
      <c r="F19" s="20">
        <f>F18*F9</f>
        <v/>
      </c>
    </row>
    <row r="20" ht="20" customHeight="1">
      <c r="A20" s="26" t="inlineStr">
        <is>
          <t>Vereine als Kunde, Jahr 3</t>
        </is>
      </c>
      <c r="B20" s="5" t="n"/>
      <c r="C20" s="6" t="n"/>
      <c r="D20" s="29">
        <f>ROUND(D18*D10+D12,0)</f>
        <v/>
      </c>
      <c r="E20" s="29">
        <f>ROUND(E18*E10+E12,0)</f>
        <v/>
      </c>
      <c r="F20" s="29">
        <f>ROUND(F18*F10+F12,0)</f>
        <v/>
      </c>
    </row>
    <row r="21" ht="20" customHeight="1">
      <c r="A21" s="26" t="inlineStr">
        <is>
          <t>Umsatz Jahr 3</t>
        </is>
      </c>
      <c r="B21" s="5" t="n"/>
      <c r="C21" s="6" t="n"/>
      <c r="D21" s="20">
        <f>D20*D9</f>
        <v/>
      </c>
      <c r="E21" s="20">
        <f>E20*E9</f>
        <v/>
      </c>
      <c r="F21" s="20">
        <f>F20*F9</f>
        <v/>
      </c>
    </row>
    <row r="22" ht="20" customHeight="1">
      <c r="A22" s="8" t="inlineStr">
        <is>
          <t>Drei Jahre zusammen</t>
        </is>
      </c>
      <c r="B22" s="5" t="n"/>
      <c r="C22" s="6" t="n"/>
      <c r="D22" s="30">
        <f>D17+D19+D21</f>
        <v/>
      </c>
      <c r="E22" s="30">
        <f>E17+E19+E21</f>
        <v/>
      </c>
      <c r="F22" s="30">
        <f>F17+F19+F21</f>
        <v/>
      </c>
    </row>
    <row r="24" ht="58" customHeight="1">
      <c r="A24" s="14" t="inlineStr">
        <is>
          <t>FAZIT</t>
        </is>
      </c>
      <c r="B24" s="15" t="inlineStr">
        <is>
          <t>Bereits im realistischen Szenario sind CHF 470'000 über drei Jahre erreichbar — mit 11 Vereinen im Jahr 1. Das optimistische Szenario liegt bei CHF 1.1 Mio., ebenfalls ohne neue Entwicklung. Der Schlüssel: grosse Vereine ansprechen, nicht viele kleine. 20 Vereine im L-Paket bringen mehr als 200 Einzelcoaches.</t>
        </is>
      </c>
      <c r="C24" s="5" t="n"/>
      <c r="D24" s="5" t="n"/>
      <c r="E24" s="5" t="n"/>
      <c r="F24" s="6" t="n"/>
    </row>
    <row r="26">
      <c r="A26" s="23" t="inlineStr">
        <is>
          <t>Diagrammdaten</t>
        </is>
      </c>
    </row>
    <row r="27" ht="30" customHeight="1">
      <c r="A27" s="7" t="inlineStr"/>
      <c r="B27" s="7" t="inlineStr"/>
      <c r="C27" s="7" t="inlineStr"/>
      <c r="D27" s="7" t="inlineStr">
        <is>
          <t>Vorsichtig</t>
        </is>
      </c>
      <c r="E27" s="7" t="inlineStr">
        <is>
          <t>Realistisch</t>
        </is>
      </c>
      <c r="F27" s="7" t="inlineStr">
        <is>
          <t>Optimistisch</t>
        </is>
      </c>
    </row>
    <row r="28">
      <c r="A28" s="23" t="inlineStr">
        <is>
          <t>Jahr 1</t>
        </is>
      </c>
      <c r="D28" s="20">
        <f>D17</f>
        <v/>
      </c>
      <c r="E28" s="20">
        <f>E17</f>
        <v/>
      </c>
      <c r="F28" s="20">
        <f>F17</f>
        <v/>
      </c>
    </row>
    <row r="29">
      <c r="A29" s="23" t="inlineStr">
        <is>
          <t>Jahr 2</t>
        </is>
      </c>
      <c r="D29" s="20">
        <f>D19</f>
        <v/>
      </c>
      <c r="E29" s="20">
        <f>E19</f>
        <v/>
      </c>
      <c r="F29" s="20">
        <f>F19</f>
        <v/>
      </c>
    </row>
    <row r="30">
      <c r="A30" s="23" t="inlineStr">
        <is>
          <t>Jahr 3</t>
        </is>
      </c>
      <c r="D30" s="20">
        <f>D21</f>
        <v/>
      </c>
      <c r="E30" s="20">
        <f>E21</f>
        <v/>
      </c>
      <c r="F30" s="20">
        <f>F21</f>
        <v/>
      </c>
    </row>
  </sheetData>
  <mergeCells count="15">
    <mergeCell ref="A10:C10"/>
    <mergeCell ref="A19:C19"/>
    <mergeCell ref="A11:C11"/>
    <mergeCell ref="B24:F24"/>
    <mergeCell ref="A8:C8"/>
    <mergeCell ref="A6:C6"/>
    <mergeCell ref="A22:C22"/>
    <mergeCell ref="A17:C17"/>
    <mergeCell ref="A9:C9"/>
    <mergeCell ref="A18:C18"/>
    <mergeCell ref="A21:C21"/>
    <mergeCell ref="A12:C12"/>
    <mergeCell ref="A7:C7"/>
    <mergeCell ref="A20:C20"/>
    <mergeCell ref="A16:C16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30" customWidth="1" min="4" max="4"/>
    <col width="10" customWidth="1" min="5" max="5"/>
    <col width="20" customWidth="1" min="6" max="6"/>
    <col width="36" customWidth="1" min="7" max="7"/>
  </cols>
  <sheetData>
    <row r="1" ht="26" customHeight="1">
      <c r="A1" s="1" t="inlineStr">
        <is>
          <t>Markt</t>
        </is>
      </c>
    </row>
    <row r="2">
      <c r="A2" s="2" t="inlineStr">
        <is>
          <t>Grundlage ist die eigene Kontaktliste vom 28.07.2026 mit 414 Vereinen.</t>
        </is>
      </c>
    </row>
    <row r="4" ht="30" customHeight="1">
      <c r="A4" s="7" t="inlineStr">
        <is>
          <t>Sportart</t>
        </is>
      </c>
      <c r="B4" s="7" t="inlineStr">
        <is>
          <t>In unserer Liste</t>
        </is>
      </c>
      <c r="C4" s="7" t="inlineStr">
        <is>
          <t>Clubs in der Schweiz</t>
        </is>
      </c>
      <c r="D4" s="7" t="inlineStr">
        <is>
          <t>Saison</t>
        </is>
      </c>
      <c r="E4" s="7" t="inlineStr">
        <is>
          <t>Stufe</t>
        </is>
      </c>
      <c r="F4" s="7" t="inlineStr">
        <is>
          <t>Umsatz bei 100 %</t>
        </is>
      </c>
      <c r="G4" s="7" t="inlineStr">
        <is>
          <t>Warum in dieser Reihenfolge</t>
        </is>
      </c>
    </row>
    <row r="5" ht="46" customHeight="1">
      <c r="A5" s="8" t="inlineStr">
        <is>
          <t>Golf</t>
        </is>
      </c>
      <c r="B5" s="29" t="n">
        <v>103</v>
      </c>
      <c r="C5" s="29" t="n">
        <v>100</v>
      </c>
      <c r="D5" s="4" t="inlineStr">
        <is>
          <t>April bis Oktober</t>
        </is>
      </c>
      <c r="E5" s="19" t="inlineStr">
        <is>
          <t>S</t>
        </is>
      </c>
      <c r="F5" s="21">
        <f>B5*'2 Preise'!E8</f>
        <v/>
      </c>
      <c r="G5" s="4" t="inlineStr">
        <is>
          <t>Höchste Zahlungskraft: eigener Platz, Geschäftsführung, Marketingbudget. Typisches Club-Budget CHF 200'000+ — unser Einstiegspreis entspricht 0.8 % davon. Im Winter ruht der Betrieb.</t>
        </is>
      </c>
    </row>
    <row r="6" ht="46" customHeight="1">
      <c r="A6" s="8" t="inlineStr">
        <is>
          <t>Tennis</t>
        </is>
      </c>
      <c r="B6" s="29" t="n">
        <v>99</v>
      </c>
      <c r="C6" s="29" t="n">
        <v>900</v>
      </c>
      <c r="D6" s="4" t="inlineStr">
        <is>
          <t>Aussenplätze April bis Oktober, Halle ganzjährig</t>
        </is>
      </c>
      <c r="E6" s="19" t="inlineStr">
        <is>
          <t>M</t>
        </is>
      </c>
      <c r="F6" s="21">
        <f>B6*'2 Preise'!E9</f>
        <v/>
      </c>
      <c r="G6" s="4" t="inlineStr">
        <is>
          <t>Grösste Zahl an Clubs mit eigener Anlage und eigenen Trainern.</t>
        </is>
      </c>
    </row>
    <row r="7" ht="46" customHeight="1">
      <c r="A7" s="8" t="inlineStr">
        <is>
          <t>Schwimmen</t>
        </is>
      </c>
      <c r="B7" s="29" t="n">
        <v>180</v>
      </c>
      <c r="C7" s="29" t="n">
        <v>175</v>
      </c>
      <c r="D7" s="4" t="inlineStr">
        <is>
          <t>ganzjährig (Hallenbad)</t>
        </is>
      </c>
      <c r="E7" s="19" t="inlineStr">
        <is>
          <t>M</t>
        </is>
      </c>
      <c r="F7" s="21">
        <f>B7*'2 Preise'!E9</f>
        <v/>
      </c>
      <c r="G7" s="4" t="inlineStr">
        <is>
          <t>Laufendes Kursgeschäft ohne Saisonlücke; dort wird ohnehin nach Angeboten gesucht.</t>
        </is>
      </c>
    </row>
    <row r="8" ht="46" customHeight="1">
      <c r="A8" s="8" t="inlineStr">
        <is>
          <t>Reiten und Eishockey</t>
        </is>
      </c>
      <c r="B8" s="29" t="n">
        <v>32</v>
      </c>
      <c r="C8" s="29" t="n">
        <v>450</v>
      </c>
      <c r="D8" s="4" t="inlineStr">
        <is>
          <t>Eishockey September bis April, Reiten ganzjährig</t>
        </is>
      </c>
      <c r="E8" s="19" t="inlineStr">
        <is>
          <t>M</t>
        </is>
      </c>
      <c r="F8" s="21">
        <f>B8*'2 Preise'!E9</f>
        <v/>
      </c>
      <c r="G8" s="4" t="inlineStr">
        <is>
          <t>Eishockey füllt genau die Monate, in denen Golf stillsteht.</t>
        </is>
      </c>
    </row>
    <row r="9">
      <c r="A9" s="8" t="inlineStr">
        <is>
          <t>Total</t>
        </is>
      </c>
      <c r="B9" s="24">
        <f>SUM(B5:B8)</f>
        <v/>
      </c>
      <c r="C9" s="24">
        <f>SUM(C5:C8)</f>
        <v/>
      </c>
      <c r="D9" s="26" t="inlineStr"/>
      <c r="E9" s="26" t="inlineStr"/>
      <c r="F9" s="30">
        <f>SUM(F5:F8)</f>
        <v/>
      </c>
      <c r="G9" s="4" t="inlineStr">
        <is>
          <t>Obergrenze, wenn jeder Verein der Liste zahlt. Keine Planzahl.</t>
        </is>
      </c>
    </row>
    <row r="11" ht="58" customHeight="1">
      <c r="A11" s="14" t="inlineStr">
        <is>
          <t>FAZIT</t>
        </is>
      </c>
      <c r="B11" s="15" t="inlineStr">
        <is>
          <t>414 Vereine stehen bereits in der Liste — mit Telefon und Mailadresse, morgen anschreibbar. Wichtig: der Schweizer Durchschnittsverein hat ein Budget von CHF 65'000 — unsere Zielgruppe sind nicht diese Vereine. Golfclubs mit eigener Anlage kommen auf CHF 200'000+, Tennisclubs auf CHF 100'000–300'000. Das sind genau die Clubs in unserer Liste. Golf + Eishockey = zwölf Monate Aktivität. Das ist ein struktureller Vorteil gegenüber jedem Anbieter, der nur eine Sportart bedient.</t>
        </is>
      </c>
      <c r="C11" s="5" t="n"/>
      <c r="D11" s="5" t="n"/>
      <c r="E11" s="5" t="n"/>
      <c r="F11" s="5" t="n"/>
      <c r="G11" s="6" t="n"/>
    </row>
  </sheetData>
  <mergeCells count="1">
    <mergeCell ref="B11:G1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62" customWidth="1" min="3" max="3"/>
    <col width="20" customWidth="1" min="4" max="4"/>
  </cols>
  <sheetData>
    <row r="1" ht="26" customHeight="1">
      <c r="A1" s="1" t="inlineStr">
        <is>
          <t>Herausforderungen und Lösungen</t>
        </is>
      </c>
    </row>
    <row r="2">
      <c r="A2" s="2" t="inlineStr">
        <is>
          <t>Zehn bekannte Stolpersteine im Vereinsgeschäft — mit konkreten Lösungen für jeden.</t>
        </is>
      </c>
    </row>
    <row r="4" ht="30" customHeight="1">
      <c r="A4" s="7" t="inlineStr">
        <is>
          <t>Thema</t>
        </is>
      </c>
      <c r="B4" s="7" t="inlineStr">
        <is>
          <t>Was man wissen muss</t>
        </is>
      </c>
      <c r="C4" s="7" t="inlineStr">
        <is>
          <t>Konkrete Massnahmen</t>
        </is>
      </c>
      <c r="D4" s="7" t="inlineStr">
        <is>
          <t>Ab wann relevant</t>
        </is>
      </c>
    </row>
    <row r="5" ht="104" customHeight="1">
      <c r="A5" s="13" t="inlineStr">
        <is>
          <t>Golf-Saison als Chance planen</t>
        </is>
      </c>
      <c r="B5" s="4" t="inlineStr">
        <is>
          <t>Golf läuft April bis Oktober — das ist bekannt und planbar. Wer den Vertrag auf die Saison abstimmt, liefert dem Club von Anfang an den richtigen Vergleich.</t>
        </is>
      </c>
      <c r="C5" s="31" t="inlineStr">
        <is>
          <t>→ Jahresvertrag: Erfolg wird über die Saison gemessen, nicht über den Monat.
→ Onboarding im Winter: Profile, Fotos und Kursplan sind parat, wenn die Saison startet.
→ Eishockey ergänzen: Saison läuft September bis April — zusammen ganzjährig aktiv.
→ Reporting pro Saison: zeigt das volle Bild statt einen einzelnen Wintermonat.</t>
        </is>
      </c>
      <c r="D5" s="4" t="inlineStr">
        <is>
          <t>ab Vertragsschluss</t>
        </is>
      </c>
    </row>
    <row r="6" ht="104" customHeight="1">
      <c r="A6" s="13" t="inlineStr">
        <is>
          <t>Vereinsentscheide richtig timen</t>
        </is>
      </c>
      <c r="B6" s="4" t="inlineStr">
        <is>
          <t>Vereinsvorstände tagen oft quartalsweise. Wer das weiss, kann den Verkaufsprozess darauf ausrichten und vermeidet unnötige Wartezeit.</t>
        </is>
      </c>
      <c r="C6" s="31" t="inlineStr">
        <is>
          <t>→ Direkt beim Geschäftsführer oder Sekretariat ansetzen — der kann meist ohne Vorstand entscheiden.
→ Preis unter der Genehmigungsschwelle des Vorstands wählen (oft CHF 5'000).
→ Kostenlose Testphase bis zur nächsten Generalversammlung anbieten.
→ Im Herbst verkaufen: Budgetfenster und Vereinsjahresbeginn fallen dann zusammen.</t>
        </is>
      </c>
      <c r="D6" s="4" t="inlineStr">
        <is>
          <t>ab dem ersten Gespräch</t>
        </is>
      </c>
    </row>
    <row r="7" ht="104" customHeight="1">
      <c r="A7" s="13" t="inlineStr">
        <is>
          <t>Zielgruppe scharf definieren</t>
        </is>
      </c>
      <c r="B7" s="4" t="inlineStr">
        <is>
          <t>82 % der Schweizer Vereine haben kein angestelltes Personal und ein Budget von CHF 65'000 im Schnitt. Die 18 % mit eigener Anlage — Golfclubs CHF 200'000+, Tennisclubs CHF 100'000–300'000 — sind dafür solide Kunden. Genau diese stehen in unserer Liste.</t>
        </is>
      </c>
      <c r="C7" s="31" t="inlineStr">
        <is>
          <t>→ Nur Vereine mit eigener Anlage ansprechen (Golf, Tennis, Schwimmen, Reiten, Eishockey).
→ Einstiegspaket S (3 Coaches, CHF 1'647/Jahr) = weniger als 1 % eines Golfclub-Budgets.
→ Zahlung aus dem Marketing- oder Sponsoring-Budget statt aus der Vereinskasse vorschlagen.
→ Per-Coach-Abrechnung: der Betrag wächst mit dem Verein mit, kein Schock durch eine Pauschale.
→ Kleine Vereine ohne Anlage via Einzelcoach-Angebot (CHF 399) bedienen, nicht via Paket.</t>
        </is>
      </c>
      <c r="D7" s="4" t="inlineStr">
        <is>
          <t>bei der Listenauswahl</t>
        </is>
      </c>
    </row>
    <row r="8" ht="104" customHeight="1">
      <c r="A8" s="13" t="inlineStr">
        <is>
          <t>Coaches aktiv einbinden</t>
        </is>
      </c>
      <c r="B8" s="4" t="inlineStr">
        <is>
          <t>Die Coaches sind der Kern der Plattform. Wenn sie wissen, was das Vereinspaket für sie bedeutet, werden sie es mittragen statt hinterfragen.</t>
        </is>
      </c>
      <c r="C8" s="31" t="inlineStr">
        <is>
          <t>→ Anfragen gehen direkt an den Coach — der Verein erhält nur eine Kopie (Blatt 6).
→ Profil bleibt beim Coach, auch wenn er den Verein verlässt.
→ Bewertungen und Referenzen gehören dem Coach, nicht dem Vereinskonto.
→ Coaches vor der Unterschrift des Vereins informieren, nicht danach.</t>
        </is>
      </c>
      <c r="D8" s="4" t="inlineStr">
        <is>
          <t>vor Vertragsschluss</t>
        </is>
      </c>
    </row>
    <row r="9" ht="104" customHeight="1">
      <c r="A9" s="13" t="inlineStr">
        <is>
          <t>Spielregeln für private Buchungen klären</t>
        </is>
      </c>
      <c r="B9" s="4" t="inlineStr">
        <is>
          <t>Manche Coaches bieten neben dem Vereinsangebot auch private Stunden an. Das ist legitim — solange es klar geregelt ist.</t>
        </is>
      </c>
      <c r="C9" s="31" t="inlineStr">
        <is>
          <t>→ Preisuntergrenze im Vertrag: Privatstunden liegen mindestens auf Vereinsniveau.
→ Zweites Privat-Profil nur mit schriftlicher Freigabe des Vereins.
→ Dashboard zeigt dem Verein alle Anfragen an seine Coaches transparent.
→ Zugangscode erlischt automatisch beim Vereinsaustritt des Coaches.</t>
        </is>
      </c>
      <c r="D9" s="4" t="inlineStr">
        <is>
          <t>ab erstem Monat</t>
        </is>
      </c>
    </row>
    <row r="10" ht="104" customHeight="1">
      <c r="A10" s="13" t="inlineStr">
        <is>
          <t>Mehrwert früh sichtbar machen</t>
        </is>
      </c>
      <c r="B10" s="4" t="inlineStr">
        <is>
          <t>Der Verein verlängert, wenn er sieht, was das Abo bringt. Monatliches Reporting macht den Nutzen greifbar — selbst in ruhigen Monaten.</t>
        </is>
      </c>
      <c r="C10" s="31" t="inlineStr">
        <is>
          <t>→ Erfolgskriterien (z. B. 2 Anfragen/Monat) vor der Unterschrift schriftlich festhalten.
→ Monatliches Reporting ab Tag 1 — auch wenn die Zahlen klein starten.
→ Erstes Jahr zum halben Preis gegen das Recht, den Verein als Referenz zu nennen.
→ Bei schwachen Zahlen aktiv nachbessern (mehr Sichtbarkeit, bessere Profile) statt abwarten.</t>
        </is>
      </c>
      <c r="D10" s="4" t="inlineStr">
        <is>
          <t>nach 3 Monaten</t>
        </is>
      </c>
    </row>
    <row r="11" ht="104" customHeight="1">
      <c r="A11" s="13" t="inlineStr">
        <is>
          <t>Kundenmix von Anfang an aufbauen</t>
        </is>
      </c>
      <c r="B11" s="4" t="inlineStr">
        <is>
          <t>Wenige grosse Vereine bringen viel Umsatz — das ist ein Vorteil, den man mit einem durchdachten Mix absichert.</t>
        </is>
      </c>
      <c r="C11" s="31" t="inlineStr">
        <is>
          <t>→ Kein Verein über 15 % des Vereinsumsatzes — Diversifikation schützt.
→ Einzelcoach-Geschäft parallel weiterführen: gibt Stabilität und neue Vereins-Leads.
→ Vertragsenden über das Jahr verteilen, nicht alle per 31. Dezember.
→ Mindestens zwei Sportarten im Kundenstamm: Golf + Eishockey = ganzjährige Aktivität.</t>
        </is>
      </c>
      <c r="D11" s="4" t="inlineStr">
        <is>
          <t>ab dem fünften Kunden</t>
        </is>
      </c>
    </row>
    <row r="12" ht="104" customHeight="1">
      <c r="A12" s="13" t="inlineStr">
        <is>
          <t>Grossverein-Onboarding skalierbar gestalten</t>
        </is>
      </c>
      <c r="B12" s="4" t="inlineStr">
        <is>
          <t>Ein Verein mit 30 Coaches ist beim ersten Mal aufwendig. Mit einem guten Prozess ist der zweite dreimal so schnell.</t>
        </is>
      </c>
      <c r="C12" s="31" t="inlineStr">
        <is>
          <t>→ Selbstregistrierung der Coaches über einen Vereinscode — kein manueller Import.
→ Einmalige Einrichtungsgebühr deckt den Erstaufwand, gibt dem Verein klare Erwartungen.
→ Einen Ansprechpartner im Verein benennen, der intern sammelt und nachfasst.
→ Zeitaufwand im Piloten messen und in den Standardprozess überführen.</t>
        </is>
      </c>
      <c r="D12" s="4" t="inlineStr">
        <is>
          <t>beim ersten Grossverein</t>
        </is>
      </c>
    </row>
    <row r="13" ht="104" customHeight="1">
      <c r="A13" s="13" t="inlineStr">
        <is>
          <t>Verbände als Partner gewinnen</t>
        </is>
      </c>
      <c r="B13" s="4" t="inlineStr">
        <is>
          <t>Swiss Tennis, Swiss Golf und Swiss Aquatics haben direkten Zugang zu allen Mitgliedsvereinen. Eine Partnerschaft öffnet Türen, die Einzelakquise nicht öffnet.</t>
        </is>
      </c>
      <c r="C13" s="31" t="inlineStr">
        <is>
          <t>→ Verband frühzeitig als Partner ansprechen statt abwarten.
→ Auf Buchung und Matching setzen — reine Vereinsverzeichnisse kann jeder Verband selbst bauen.
→ Erste Clubs in einer Region exklusiv einbinden — schafft Referenzen für den Verband.
→ Marke bei den Coaches aufbauen: die bleiben loyal, auch wenn Verbände wechseln.</t>
        </is>
      </c>
      <c r="D13" s="4" t="inlineStr">
        <is>
          <t>im ersten Jahr</t>
        </is>
      </c>
    </row>
    <row r="14" ht="104" customHeight="1">
      <c r="A14" s="13" t="inlineStr">
        <is>
          <t>Erstkontakt professionell gestalten</t>
        </is>
      </c>
      <c r="B14" s="4" t="inlineStr">
        <is>
          <t>414 Vereine stehen in der Liste — ein gezieltes, professionelles Anschreiben öffnet Türen. Qualität vor Quantität zahlt sich aus.</t>
        </is>
      </c>
      <c r="C14" s="31" t="inlineStr">
        <is>
          <t>→ Persönliche Anrede, Bezug auf Sportart und Vereinsgrösse — kein generisches Massen-Mail.
→ In Wellen von 50 versenden statt 414 auf einmal — so kann man auf Rückmeldungen reagieren.
→ Nach vier Tagen telefonisch nachfassen: viele Entscheider antworten lieber am Telefon.
→ Abmeldemöglichkeit sauber einbauen, Absender klar erkennbar — schützt die Absender-Reputation.</t>
        </is>
      </c>
      <c r="D14" s="4" t="inlineStr">
        <is>
          <t>ab Woche 3</t>
        </is>
      </c>
    </row>
    <row r="16" ht="58" customHeight="1">
      <c r="A16" s="14" t="inlineStr">
        <is>
          <t>FAZIT</t>
        </is>
      </c>
      <c r="B16" s="15" t="inlineStr">
        <is>
          <t>Alle zehn Punkte sind bekannt und lösbar — kein einziger erfordert neue Entwicklung. Saisonalität, Entscheidungszeit, Zielgruppe und Coach-Einbindung lassen sich mit Vertragsgestaltung und dem richtigen Erstkontakt regeln. Wer diese Liste kennt, ist vorbereitet — und der Pilot in 90 Tagen liefert die Zahlen, um es zu belegen.</t>
        </is>
      </c>
      <c r="C16" s="5" t="n"/>
      <c r="D16" s="6" t="n"/>
    </row>
  </sheetData>
  <mergeCells count="1">
    <mergeCell ref="B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  <col width="26" customWidth="1" min="4" max="4"/>
  </cols>
  <sheetData>
    <row r="1" ht="26" customHeight="1">
      <c r="A1" s="1" t="inlineStr">
        <is>
          <t>Coach oder Verein</t>
        </is>
      </c>
    </row>
    <row r="2">
      <c r="A2" s="2" t="inlineStr">
        <is>
          <t>Coach Grid bleibt eine Coach-Plattform und bietet Vereinen trotzdem echten Mehrwert — kein Widerspruch.</t>
        </is>
      </c>
    </row>
    <row r="4">
      <c r="A4" s="3" t="inlineStr">
        <is>
          <t>Drei Möglichkeiten</t>
        </is>
      </c>
    </row>
    <row r="5" ht="30" customHeight="1">
      <c r="A5" s="7" t="inlineStr">
        <is>
          <t>Modell</t>
        </is>
      </c>
      <c r="B5" s="7" t="inlineStr">
        <is>
          <t>Dafür</t>
        </is>
      </c>
      <c r="C5" s="7" t="inlineStr">
        <is>
          <t>Dagegen</t>
        </is>
      </c>
      <c r="D5" s="7" t="inlineStr">
        <is>
          <t>Bewertung</t>
        </is>
      </c>
    </row>
    <row r="6" ht="62" customHeight="1">
      <c r="A6" s="13" t="inlineStr">
        <is>
          <t>Anfrage geht an den Verein</t>
        </is>
      </c>
      <c r="B6" s="4" t="inlineStr">
        <is>
          <t>Für den Verein die einfachste Zusage: er behält die Kundenbeziehung ganz.</t>
        </is>
      </c>
      <c r="C6" s="4" t="inlineStr">
        <is>
          <t>Aus der Coach-Plattform wird ein Vereinsverzeichnis. Der Kunde schreibt einen Coach an und landet bei einer Zentrale.</t>
        </is>
      </c>
      <c r="D6" s="13" t="inlineStr">
        <is>
          <t>Nicht empfohlen</t>
        </is>
      </c>
    </row>
    <row r="7" ht="62" customHeight="1">
      <c r="A7" s="13" t="inlineStr">
        <is>
          <t>Anfrage geht nur an den Coach</t>
        </is>
      </c>
      <c r="B7" s="4" t="inlineStr">
        <is>
          <t>Alles bleibt wie heute, kein Eingriff ins Produkt.</t>
        </is>
      </c>
      <c r="C7" s="4" t="inlineStr">
        <is>
          <t>Der Verein sieht keinen Rücklauf und verlängert nach einem Jahr nicht.</t>
        </is>
      </c>
      <c r="D7" s="13" t="inlineStr">
        <is>
          <t>Zu wenig für den Verein</t>
        </is>
      </c>
    </row>
    <row r="8" ht="62" customHeight="1">
      <c r="A8" s="13" t="inlineStr">
        <is>
          <t>Anfrage geht an den Coach, Verein erhält eine Kopie</t>
        </is>
      </c>
      <c r="B8" s="4" t="inlineStr">
        <is>
          <t>Der Coach bleibt Ansprechpartner. Der Verein sieht im Dashboard jede Anfrage und die Auslastung seiner Coaches.</t>
        </is>
      </c>
      <c r="C8" s="4" t="inlineStr">
        <is>
          <t>Braucht ein Vereinskonto und ein Dashboard.</t>
        </is>
      </c>
      <c r="D8" s="13" t="inlineStr">
        <is>
          <t>Empfohlen</t>
        </is>
      </c>
    </row>
    <row r="10">
      <c r="A10" s="3" t="inlineStr">
        <is>
          <t>Vier Fragen, die im Gespräch kommen</t>
        </is>
      </c>
    </row>
    <row r="11" ht="30" customHeight="1">
      <c r="A11" s="7" t="inlineStr">
        <is>
          <t>Frage des Vereins</t>
        </is>
      </c>
      <c r="B11" s="7" t="inlineStr">
        <is>
          <t>Antwort</t>
        </is>
      </c>
      <c r="C11" s="7" t="inlineStr">
        <is>
          <t>Im Vertrag geregelt durch</t>
        </is>
      </c>
      <c r="D11" s="7" t="inlineStr"/>
    </row>
    <row r="12" ht="54" customHeight="1">
      <c r="A12" s="13" t="inlineStr">
        <is>
          <t>Melden sich unsere Coaches dann einfach privat an?</t>
        </is>
      </c>
      <c r="B12" s="4" t="inlineStr">
        <is>
          <t>Solange der Verein zahlt, läuft jeder seiner Coaches über den Vereinszugang.</t>
        </is>
      </c>
      <c r="C12" s="4" t="inlineStr">
        <is>
          <t>Zugangscode pro Coach; ein zweites Profil nur mit Freigabe des Vereins.</t>
        </is>
      </c>
      <c r="D12" s="6" t="n"/>
    </row>
    <row r="13" ht="54" customHeight="1">
      <c r="A13" s="13" t="inlineStr">
        <is>
          <t>Sind Privatstunden nicht billiger als unsere Kurse?</t>
        </is>
      </c>
      <c r="B13" s="4" t="inlineStr">
        <is>
          <t>In Tennis, Schwimmen und Ski liegt die Privatstunde regelmässig über dem Vereinsangebot.</t>
        </is>
      </c>
      <c r="C13" s="4" t="inlineStr">
        <is>
          <t>Preisuntergrenze: Privatstunden eines Vereinscoaches mindestens auf Vereinsniveau.</t>
        </is>
      </c>
      <c r="D13" s="6" t="n"/>
    </row>
    <row r="14" ht="54" customHeight="1">
      <c r="A14" s="13" t="inlineStr">
        <is>
          <t>Was passiert, wenn ein Coach uns verlässt?</t>
        </is>
      </c>
      <c r="B14" s="4" t="inlineStr">
        <is>
          <t>Sein Zugang wird deaktiviert. Der Verein zahlt nie für jemanden, der nicht mehr da ist.</t>
        </is>
      </c>
      <c r="C14" s="4" t="inlineStr">
        <is>
          <t>Deaktivierung innert fünf Werktagen, monatliche Abrechnung der Zugänge.</t>
        </is>
      </c>
      <c r="D14" s="6" t="n"/>
    </row>
    <row r="15" ht="54" customHeight="1">
      <c r="A15" s="13" t="inlineStr">
        <is>
          <t>Könnt ihr uns neue Mitglieder garantieren?</t>
        </is>
      </c>
      <c r="B15" s="4" t="inlineStr">
        <is>
          <t>Wir erhöhen die Wahrscheinlichkeit, gefunden zu werden, messbar und nachvollziehbar — mit monatlichem Reporting ab Tag 1.</t>
        </is>
      </c>
      <c r="C15" s="4" t="inlineStr">
        <is>
          <t>Klare Erfolgskriterien vorab schriftlich, monatliches Dashboard, Ausstiegsrecht nach 12 Monaten.</t>
        </is>
      </c>
      <c r="D15" s="6" t="n"/>
    </row>
    <row r="17" ht="58" customHeight="1">
      <c r="A17" s="14" t="inlineStr">
        <is>
          <t>FAZIT</t>
        </is>
      </c>
      <c r="B17" s="15" t="inlineStr">
        <is>
          <t>Die Anfrage geht an den Coach, der Verein bekommt sie in Kopie und sieht im Dashboard, was das Abo bringt. Damit bleibt die Plattform eine Coach-Plattform und der Verein hat trotzdem einen belegbaren Gegenwert. Die Website muss dafür nicht umgeschrieben werden.</t>
        </is>
      </c>
      <c r="C17" s="5" t="n"/>
      <c r="D17" s="6" t="n"/>
    </row>
  </sheetData>
  <mergeCells count="5">
    <mergeCell ref="C12:D12"/>
    <mergeCell ref="C15:D15"/>
    <mergeCell ref="B17:D17"/>
    <mergeCell ref="C14:D14"/>
    <mergeCell ref="C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6" customWidth="1" min="3" max="3"/>
    <col width="22" customWidth="1" min="4" max="4"/>
    <col width="26" customWidth="1" min="5" max="5"/>
  </cols>
  <sheetData>
    <row r="1" ht="26" customHeight="1">
      <c r="A1" s="1" t="inlineStr">
        <is>
          <t>Fahrplan über 90 Tage</t>
        </is>
      </c>
    </row>
    <row r="2">
      <c r="A2" s="2" t="inlineStr">
        <is>
          <t>Nach drei Monaten steht die Entscheidung — auf Basis gemessener Zahlen.</t>
        </is>
      </c>
    </row>
    <row r="4" ht="30" customHeight="1">
      <c r="A4" s="7" t="inlineStr">
        <is>
          <t>Zeitraum</t>
        </is>
      </c>
      <c r="B4" s="7" t="inlineStr">
        <is>
          <t>Schritt</t>
        </is>
      </c>
      <c r="C4" s="7" t="inlineStr">
        <is>
          <t>Was passiert</t>
        </is>
      </c>
      <c r="D4" s="7" t="inlineStr">
        <is>
          <t>Wer</t>
        </is>
      </c>
      <c r="E4" s="7" t="inlineStr">
        <is>
          <t>Fertig, wenn</t>
        </is>
      </c>
    </row>
    <row r="5" ht="46" customHeight="1">
      <c r="A5" s="13" t="inlineStr">
        <is>
          <t>Woche 1–2</t>
        </is>
      </c>
      <c r="B5" s="4" t="inlineStr">
        <is>
          <t>Angebot fertigstellen</t>
        </is>
      </c>
      <c r="C5" s="4" t="inlineStr">
        <is>
          <t>Staffelpreise festlegen, Vertrag mit Zugangscodes und Preisuntergrenze aufsetzen, eine Seite für Vereine auf der Website.</t>
        </is>
      </c>
      <c r="D5" s="4" t="inlineStr">
        <is>
          <t>Robert und Navid</t>
        </is>
      </c>
      <c r="E5" s="4" t="inlineStr">
        <is>
          <t>Vertrag und Preisliste stehen</t>
        </is>
      </c>
    </row>
    <row r="6" ht="46" customHeight="1">
      <c r="A6" s="13" t="inlineStr">
        <is>
          <t>Woche 2</t>
        </is>
      </c>
      <c r="B6" s="4" t="inlineStr">
        <is>
          <t>Zielliste schneiden</t>
        </is>
      </c>
      <c r="C6" s="4" t="inlineStr">
        <is>
          <t>Aus den 414 Kontakten die 50 aussichtsreichsten ziehen: Golf und grosse Tennisclubs mit Mailadresse.</t>
        </is>
      </c>
      <c r="D6" s="4" t="inlineStr">
        <is>
          <t>Navid</t>
        </is>
      </c>
      <c r="E6" s="4" t="inlineStr">
        <is>
          <t>Liste mit 50 Vereinen steht</t>
        </is>
      </c>
    </row>
    <row r="7" ht="46" customHeight="1">
      <c r="A7" s="13" t="inlineStr">
        <is>
          <t>Woche 3–4</t>
        </is>
      </c>
      <c r="B7" s="4" t="inlineStr">
        <is>
          <t>Erste Welle</t>
        </is>
      </c>
      <c r="C7" s="4" t="inlineStr">
        <is>
          <t>50 Vereine anschreiben, nach vier Tagen telefonisch nachfassen.</t>
        </is>
      </c>
      <c r="D7" s="4" t="inlineStr">
        <is>
          <t>Navid</t>
        </is>
      </c>
      <c r="E7" s="4" t="inlineStr">
        <is>
          <t>50 angeschrieben und nachgefasst</t>
        </is>
      </c>
    </row>
    <row r="8" ht="46" customHeight="1">
      <c r="A8" s="13" t="inlineStr">
        <is>
          <t>Woche 5–8</t>
        </is>
      </c>
      <c r="B8" s="4" t="inlineStr">
        <is>
          <t>Gespräche führen</t>
        </is>
      </c>
      <c r="C8" s="4" t="inlineStr">
        <is>
          <t>Termine wahrnehmen, Blatt 2 und 6 als Gesprächsgrundlage nutzen.</t>
        </is>
      </c>
      <c r="D8" s="4" t="inlineStr">
        <is>
          <t>Robert</t>
        </is>
      </c>
      <c r="E8" s="4" t="inlineStr">
        <is>
          <t>mindestens acht Termine</t>
        </is>
      </c>
    </row>
    <row r="9" ht="46" customHeight="1">
      <c r="A9" s="13" t="inlineStr">
        <is>
          <t>Woche 6–10</t>
        </is>
      </c>
      <c r="B9" s="4" t="inlineStr">
        <is>
          <t>Drei Pilotkunden gewinnen</t>
        </is>
      </c>
      <c r="C9" s="4" t="inlineStr">
        <is>
          <t>Erstes Jahr zum halben Preis gegen das Recht, den Verein als Referenz zu nennen.</t>
        </is>
      </c>
      <c r="D9" s="4" t="inlineStr">
        <is>
          <t>Robert und Navid</t>
        </is>
      </c>
      <c r="E9" s="4" t="inlineStr">
        <is>
          <t>drei unterschriebene Verträge</t>
        </is>
      </c>
    </row>
    <row r="10" ht="46" customHeight="1">
      <c r="A10" s="13" t="inlineStr">
        <is>
          <t>Woche 9–12</t>
        </is>
      </c>
      <c r="B10" s="4" t="inlineStr">
        <is>
          <t>Belegen und entscheiden</t>
        </is>
      </c>
      <c r="C10" s="4" t="inlineStr">
        <is>
          <t>Anfragen pro Pilotverein messen, Fallstudie schreiben, Preis fixieren oder Modell verwerfen.</t>
        </is>
      </c>
      <c r="D10" s="4" t="inlineStr">
        <is>
          <t>Navid</t>
        </is>
      </c>
      <c r="E10" s="4" t="inlineStr">
        <is>
          <t>Fallstudie liegt vor</t>
        </is>
      </c>
    </row>
    <row r="12">
      <c r="A12" s="3" t="inlineStr">
        <is>
          <t>Klare Entscheidungsgrundlage nach 90 Tagen</t>
        </is>
      </c>
    </row>
    <row r="13" ht="30" customHeight="1">
      <c r="A13" s="7" t="inlineStr">
        <is>
          <t>Kennzahl</t>
        </is>
      </c>
      <c r="B13" s="7" t="inlineStr">
        <is>
          <t>Zielwert — Pilot gilt als Erfolg</t>
        </is>
      </c>
      <c r="C13" s="7" t="inlineStr"/>
      <c r="D13" s="7" t="inlineStr"/>
      <c r="E13" s="7" t="inlineStr"/>
    </row>
    <row r="14">
      <c r="A14" s="26" t="inlineStr">
        <is>
          <t>Antworten auf 50 Anschreiben</t>
        </is>
      </c>
      <c r="B14" s="32" t="inlineStr">
        <is>
          <t>ab 6 Antworten (12 %)</t>
        </is>
      </c>
      <c r="C14" s="5" t="n"/>
      <c r="D14" s="5" t="n"/>
      <c r="E14" s="6" t="n"/>
    </row>
    <row r="15">
      <c r="A15" s="26" t="inlineStr">
        <is>
          <t>Abschlüsse nach 10 Gesprächen</t>
        </is>
      </c>
      <c r="B15" s="32" t="inlineStr">
        <is>
          <t>ab 1 Abschluss</t>
        </is>
      </c>
      <c r="C15" s="5" t="n"/>
      <c r="D15" s="5" t="n"/>
      <c r="E15" s="6" t="n"/>
    </row>
    <row r="16">
      <c r="A16" s="26" t="inlineStr">
        <is>
          <t>Anfragen pro Pilotverein und Monat</t>
        </is>
      </c>
      <c r="B16" s="32" t="inlineStr">
        <is>
          <t>ab 2 Anfragen</t>
        </is>
      </c>
      <c r="C16" s="5" t="n"/>
      <c r="D16" s="5" t="n"/>
      <c r="E16" s="6" t="n"/>
    </row>
    <row r="18" ht="58" customHeight="1">
      <c r="A18" s="14" t="inlineStr">
        <is>
          <t>FAZIT</t>
        </is>
      </c>
      <c r="B18" s="15" t="inlineStr">
        <is>
          <t>Der Pilot kostet drei Monate und keine Entwicklung — nur Zeit und 50 E-Mails. Er liefert Antwortquote, Abschlussquote, Anfragen pro Verein und Zahlungsbereitschaft: genau die Zahlen, die heute noch Annahmen sind. Nach 90 Tagen steht die Entscheidung auf Basis echter Daten — und nicht auf Basis von Schätzungen.</t>
        </is>
      </c>
      <c r="C18" s="5" t="n"/>
      <c r="D18" s="5" t="n"/>
      <c r="E18" s="6" t="n"/>
    </row>
  </sheetData>
  <mergeCells count="4">
    <mergeCell ref="B15:E15"/>
    <mergeCell ref="B18:E18"/>
    <mergeCell ref="B14:E14"/>
    <mergeCell ref="B16:E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20" customWidth="1" min="3" max="3"/>
    <col width="44" customWidth="1" min="4" max="4"/>
  </cols>
  <sheetData>
    <row r="1" ht="26" customHeight="1">
      <c r="A1" s="1" t="inlineStr">
        <is>
          <t>Zahlen und Quellen</t>
        </is>
      </c>
    </row>
    <row r="2">
      <c r="A2" s="2" t="inlineStr">
        <is>
          <t>Getrennt nach belegten Zahlen und Eingaben, die im Pilot gemessen werden.</t>
        </is>
      </c>
    </row>
    <row r="4">
      <c r="A4" s="3" t="inlineStr">
        <is>
          <t>Belegte Zahlen</t>
        </is>
      </c>
    </row>
    <row r="5" ht="30" customHeight="1">
      <c r="A5" s="7" t="inlineStr">
        <is>
          <t>Zahl</t>
        </is>
      </c>
      <c r="B5" s="7" t="inlineStr">
        <is>
          <t>Wert</t>
        </is>
      </c>
      <c r="C5" s="7" t="inlineStr">
        <is>
          <t>Art</t>
        </is>
      </c>
      <c r="D5" s="7" t="inlineStr">
        <is>
          <t>Quelle</t>
        </is>
      </c>
    </row>
    <row r="6" ht="24" customHeight="1">
      <c r="A6" s="4" t="inlineStr">
        <is>
          <t>Sportvereine in der Schweiz</t>
        </is>
      </c>
      <c r="B6" s="13" t="inlineStr">
        <is>
          <t>18'310</t>
        </is>
      </c>
      <c r="C6" s="33" t="inlineStr">
        <is>
          <t>belegt</t>
        </is>
      </c>
      <c r="D6" s="4" t="inlineStr">
        <is>
          <t>Vereinsstudie 2022, Swiss Olympic</t>
        </is>
      </c>
    </row>
    <row r="7" ht="24" customHeight="1">
      <c r="A7" s="4" t="inlineStr">
        <is>
          <t>Mitgliedschaften in Sportvereinen</t>
        </is>
      </c>
      <c r="B7" s="13" t="inlineStr">
        <is>
          <t>2'200'000</t>
        </is>
      </c>
      <c r="C7" s="33" t="inlineStr">
        <is>
          <t>belegt</t>
        </is>
      </c>
      <c r="D7" s="4" t="inlineStr">
        <is>
          <t>Vereinsstudie 2022, Swiss Olympic</t>
        </is>
      </c>
    </row>
    <row r="8" ht="24" customHeight="1">
      <c r="A8" s="4" t="inlineStr">
        <is>
          <t>Durchschnittliche Jahreseinnahmen eines Vereins</t>
        </is>
      </c>
      <c r="B8" s="13" t="inlineStr">
        <is>
          <t>CHF 69'000</t>
        </is>
      </c>
      <c r="C8" s="33" t="inlineStr">
        <is>
          <t>belegt</t>
        </is>
      </c>
      <c r="D8" s="4" t="inlineStr">
        <is>
          <t>Observatorium Sport und Bewegung Schweiz</t>
        </is>
      </c>
    </row>
    <row r="9" ht="24" customHeight="1">
      <c r="A9" s="4" t="inlineStr">
        <is>
          <t>Vereine ohne bezahlte Mitarbeitende</t>
        </is>
      </c>
      <c r="B9" s="13" t="inlineStr">
        <is>
          <t>82 %</t>
        </is>
      </c>
      <c r="C9" s="33" t="inlineStr">
        <is>
          <t>belegt</t>
        </is>
      </c>
      <c r="D9" s="4" t="inlineStr">
        <is>
          <t>Vereinsstudie 2022, Swiss Olympic</t>
        </is>
      </c>
    </row>
    <row r="10" ht="24" customHeight="1">
      <c r="A10" s="4" t="inlineStr">
        <is>
          <t>Vereine mit existenzbedrohendem Problem</t>
        </is>
      </c>
      <c r="B10" s="13" t="inlineStr">
        <is>
          <t>41 %</t>
        </is>
      </c>
      <c r="C10" s="33" t="inlineStr">
        <is>
          <t>belegt</t>
        </is>
      </c>
      <c r="D10" s="4" t="inlineStr">
        <is>
          <t>Vereinsstudie 2022, Swiss Olympic</t>
        </is>
      </c>
    </row>
    <row r="11" ht="24" customHeight="1">
      <c r="A11" s="4" t="inlineStr">
        <is>
          <t>Tennisclubs in der Schweiz</t>
        </is>
      </c>
      <c r="B11" s="13" t="inlineStr">
        <is>
          <t>rund 900</t>
        </is>
      </c>
      <c r="C11" s="33" t="inlineStr">
        <is>
          <t>belegt</t>
        </is>
      </c>
      <c r="D11" s="4" t="inlineStr">
        <is>
          <t>Swiss Tennis</t>
        </is>
      </c>
    </row>
    <row r="12" ht="24" customHeight="1">
      <c r="A12" s="4" t="inlineStr">
        <is>
          <t>Golfclubs in der Schweiz</t>
        </is>
      </c>
      <c r="B12" s="13" t="inlineStr">
        <is>
          <t>über 90</t>
        </is>
      </c>
      <c r="C12" s="33" t="inlineStr">
        <is>
          <t>belegt</t>
        </is>
      </c>
      <c r="D12" s="4" t="inlineStr">
        <is>
          <t>Swiss PGA</t>
        </is>
      </c>
    </row>
    <row r="13" ht="24" customHeight="1">
      <c r="A13" s="4" t="inlineStr">
        <is>
          <t>Schwimmvereine in der Schweiz</t>
        </is>
      </c>
      <c r="B13" s="13" t="inlineStr">
        <is>
          <t>175</t>
        </is>
      </c>
      <c r="C13" s="33" t="inlineStr">
        <is>
          <t>belegt</t>
        </is>
      </c>
      <c r="D13" s="4" t="inlineStr">
        <is>
          <t>Swiss Aquatics, Mitgliedvereine</t>
        </is>
      </c>
    </row>
    <row r="14" ht="24" customHeight="1">
      <c r="A14" s="4" t="inlineStr">
        <is>
          <t>Fussballvereine in der Schweiz</t>
        </is>
      </c>
      <c r="B14" s="13" t="inlineStr">
        <is>
          <t>1'345</t>
        </is>
      </c>
      <c r="C14" s="33" t="inlineStr">
        <is>
          <t>belegt</t>
        </is>
      </c>
      <c r="D14" s="4" t="inlineStr">
        <is>
          <t>Schweizerischer Fussballverband</t>
        </is>
      </c>
    </row>
    <row r="15" ht="24" customHeight="1">
      <c r="A15" s="4" t="inlineStr">
        <is>
          <t>Erwachsene in einem Sportverein</t>
        </is>
      </c>
      <c r="B15" s="13" t="inlineStr">
        <is>
          <t>22 %</t>
        </is>
      </c>
      <c r="C15" s="33" t="inlineStr">
        <is>
          <t>belegt</t>
        </is>
      </c>
      <c r="D15" s="4" t="inlineStr">
        <is>
          <t>Sport Schweiz 2020, BASPO</t>
        </is>
      </c>
    </row>
    <row r="16" ht="24" customHeight="1">
      <c r="A16" s="4" t="inlineStr">
        <is>
          <t>Kinder von 10 bis 14 in einem Sportverein</t>
        </is>
      </c>
      <c r="B16" s="13" t="inlineStr">
        <is>
          <t>67 %</t>
        </is>
      </c>
      <c r="C16" s="33" t="inlineStr">
        <is>
          <t>belegt</t>
        </is>
      </c>
      <c r="D16" s="4" t="inlineStr">
        <is>
          <t>Sport Schweiz 2020, BASPO</t>
        </is>
      </c>
    </row>
    <row r="17" ht="24" customHeight="1">
      <c r="A17" s="4" t="inlineStr">
        <is>
          <t>Saison National League Eishockey</t>
        </is>
      </c>
      <c r="B17" s="13" t="inlineStr">
        <is>
          <t>September bis April</t>
        </is>
      </c>
      <c r="C17" s="33" t="inlineStr">
        <is>
          <t>belegt</t>
        </is>
      </c>
      <c r="D17" s="4" t="inlineStr">
        <is>
          <t>Spielplan National League: Qualifikation September bis März, Playoffs bis April</t>
        </is>
      </c>
    </row>
    <row r="18" ht="24" customHeight="1">
      <c r="A18" s="4" t="inlineStr">
        <is>
          <t>Saison Golfplätze Schweiz</t>
        </is>
      </c>
      <c r="B18" s="13" t="inlineStr">
        <is>
          <t>April bis Oktober</t>
        </is>
      </c>
      <c r="C18" s="33" t="inlineStr">
        <is>
          <t>belegt</t>
        </is>
      </c>
      <c r="D18" s="4" t="inlineStr">
        <is>
          <t>Saisonzeiten der Golfplätze, Graubünden Ferien. Je nach Höhenlage kürzer</t>
        </is>
      </c>
    </row>
    <row r="19" ht="24" customHeight="1">
      <c r="A19" s="4" t="inlineStr">
        <is>
          <t>Kontaktierbare Vereine in unserer Liste</t>
        </is>
      </c>
      <c r="B19" s="13" t="inlineStr">
        <is>
          <t>414</t>
        </is>
      </c>
      <c r="C19" s="33" t="inlineStr">
        <is>
          <t>eigene Erhebung</t>
        </is>
      </c>
      <c r="D19" s="4" t="inlineStr">
        <is>
          <t>Eigene Liste vom 28.07.2026: Golf 103, Tennis 99, Schwimmen 180, Reiten und Eishockey 32</t>
        </is>
      </c>
    </row>
    <row r="21">
      <c r="A21" s="3" t="inlineStr">
        <is>
          <t>Eingaben, die im Pilot gemessen werden</t>
        </is>
      </c>
    </row>
    <row r="22" ht="30" customHeight="1">
      <c r="A22" s="7" t="inlineStr">
        <is>
          <t>Eingabe</t>
        </is>
      </c>
      <c r="B22" s="7" t="inlineStr">
        <is>
          <t>Im Modell</t>
        </is>
      </c>
      <c r="C22" s="7" t="inlineStr">
        <is>
          <t>Art</t>
        </is>
      </c>
      <c r="D22" s="7" t="inlineStr">
        <is>
          <t>Wird gemessen durch</t>
        </is>
      </c>
    </row>
    <row r="23" ht="24" customHeight="1">
      <c r="A23" s="4" t="inlineStr">
        <is>
          <t>Preis pro Coach und Jahr</t>
        </is>
      </c>
      <c r="B23" s="13" t="inlineStr">
        <is>
          <t>CHF 399</t>
        </is>
      </c>
      <c r="C23" s="34" t="inlineStr">
        <is>
          <t>Eingabe</t>
        </is>
      </c>
      <c r="D23" s="4" t="inlineStr">
        <is>
          <t>Bereits im Einsatz, auf Blatt 2 änderbar</t>
        </is>
      </c>
    </row>
    <row r="24" ht="24" customHeight="1">
      <c r="A24" s="4" t="inlineStr">
        <is>
          <t>Antwortquote auf ein Anschreiben</t>
        </is>
      </c>
      <c r="B24" s="13" t="inlineStr">
        <is>
          <t>12 / 20 / 30 %</t>
        </is>
      </c>
      <c r="C24" s="34" t="inlineStr">
        <is>
          <t>Eingabe</t>
        </is>
      </c>
      <c r="D24" s="4" t="inlineStr">
        <is>
          <t>Erste Welle an 50 Vereine, Woche 3–4</t>
        </is>
      </c>
    </row>
    <row r="25" ht="24" customHeight="1">
      <c r="A25" s="4" t="inlineStr">
        <is>
          <t>Anteil, der Kunde wird</t>
        </is>
      </c>
      <c r="B25" s="13" t="inlineStr">
        <is>
          <t>8 / 15 / 25 %</t>
        </is>
      </c>
      <c r="C25" s="34" t="inlineStr">
        <is>
          <t>Eingabe</t>
        </is>
      </c>
      <c r="D25" s="4" t="inlineStr">
        <is>
          <t>Gespräche in Woche 5–8</t>
        </is>
      </c>
    </row>
    <row r="26" ht="24" customHeight="1">
      <c r="A26" s="4" t="inlineStr">
        <is>
          <t>Verlängerung im Folgejahr</t>
        </is>
      </c>
      <c r="B26" s="13" t="inlineStr">
        <is>
          <t>75 / 85 / 90 %</t>
        </is>
      </c>
      <c r="C26" s="34" t="inlineStr">
        <is>
          <t>Eingabe</t>
        </is>
      </c>
      <c r="D26" s="4" t="inlineStr">
        <is>
          <t>Erst nach zwölf Monaten messbar</t>
        </is>
      </c>
    </row>
    <row r="27" ht="24" customHeight="1">
      <c r="A27" s="4" t="inlineStr">
        <is>
          <t>Coaches pro Verein</t>
        </is>
      </c>
      <c r="B27" s="13" t="inlineStr">
        <is>
          <t>10 bis 40</t>
        </is>
      </c>
      <c r="C27" s="34" t="inlineStr">
        <is>
          <t>Eingabe</t>
        </is>
      </c>
      <c r="D27" s="4" t="inlineStr">
        <is>
          <t>Wird im Erstgespräch erfasst</t>
        </is>
      </c>
    </row>
    <row r="29">
      <c r="A29" s="3" t="inlineStr">
        <is>
          <t>Quellen</t>
        </is>
      </c>
    </row>
    <row r="30">
      <c r="A30" s="35" t="inlineStr">
        <is>
          <t>Vereinsstudie 2022, Swiss Olympic</t>
        </is>
      </c>
      <c r="B30" s="36" t="inlineStr">
        <is>
          <t>https://www.swissolympic.ch/dam/jcr:e13bfb8d-92a6-41a3-89e4-b80d30c2d23c/Vereinsstudie%202022_DE_Web.pdf</t>
        </is>
      </c>
    </row>
    <row r="31">
      <c r="A31" s="35" t="inlineStr">
        <is>
          <t>Observatorium Sport und Bewegung Schweiz</t>
        </is>
      </c>
      <c r="B31" s="36" t="inlineStr">
        <is>
          <t>https://www.sportobs.ch/inhalte/Indikatoren_PDF_neu/Ind_22_Sportobs.pdf</t>
        </is>
      </c>
    </row>
    <row r="32">
      <c r="A32" s="35" t="inlineStr">
        <is>
          <t>Sport Schweiz 2020, BASPO</t>
        </is>
      </c>
      <c r="B32" s="36" t="inlineStr">
        <is>
          <t>https://www.sportobs.ch/inhalte/Downloads/Bro_Sport_Schweiz_2020_d_WEB.pdf</t>
        </is>
      </c>
    </row>
    <row r="33">
      <c r="A33" s="35" t="inlineStr">
        <is>
          <t>Swiss Aquatics, Mitgliedvereine</t>
        </is>
      </c>
      <c r="B33" s="36" t="inlineStr">
        <is>
          <t>https://www.swiss-aquatics.ch/verband/mitglieder/alle-mitgliedvereine/</t>
        </is>
      </c>
    </row>
    <row r="34">
      <c r="A34" s="35" t="inlineStr">
        <is>
          <t>Swiss Tennis</t>
        </is>
      </c>
      <c r="B34" s="36" t="inlineStr">
        <is>
          <t>https://www.swisstennis.ch/de/</t>
        </is>
      </c>
    </row>
    <row r="35">
      <c r="A35" s="35" t="inlineStr">
        <is>
          <t>Swiss Golf</t>
        </is>
      </c>
      <c r="B35" s="36" t="inlineStr">
        <is>
          <t>https://www.swissgolf.ch/</t>
        </is>
      </c>
    </row>
    <row r="36">
      <c r="A36" s="35" t="inlineStr">
        <is>
          <t>Saisonzeiten Golfplätze, Graubünden Ferien</t>
        </is>
      </c>
      <c r="B36" s="36" t="inlineStr">
        <is>
          <t>https://www.graubuenden.ch/de/news/saisonzeiten-golfplaetze</t>
        </is>
      </c>
    </row>
    <row r="37">
      <c r="A37" s="35" t="inlineStr">
        <is>
          <t>Spielplan National League</t>
        </is>
      </c>
      <c r="B37" s="36" t="inlineStr">
        <is>
          <t>https://www.sihf.ch/</t>
        </is>
      </c>
    </row>
    <row r="39" ht="58" customHeight="1">
      <c r="A39" s="14" t="inlineStr">
        <is>
          <t>FAZIT</t>
        </is>
      </c>
      <c r="B39" s="15" t="inlineStr">
        <is>
          <t>Dreizehn Marktzahlen sind belegt und verlinkt, eine stammt aus der eigenen Erhebung. Fünf Werte sind Eingaben — sie treiben das Ergebnis und werden im 90-Tage-Pilot durch gemessene Zahlen ersetzt. Bis dahin ist jedes Umsatzszenario eine Rechnung, keine Prognose.</t>
        </is>
      </c>
      <c r="C39" s="5" t="n"/>
      <c r="D39" s="6" t="n"/>
    </row>
  </sheetData>
  <mergeCells count="9">
    <mergeCell ref="B33:D33"/>
    <mergeCell ref="B36:D36"/>
    <mergeCell ref="B37:D37"/>
    <mergeCell ref="B31:D31"/>
    <mergeCell ref="B32:D32"/>
    <mergeCell ref="B35:D35"/>
    <mergeCell ref="B30:D30"/>
    <mergeCell ref="B39:D39"/>
    <mergeCell ref="B34:D34"/>
  </mergeCells>
  <hyperlinks>
    <hyperlink xmlns:r="http://schemas.openxmlformats.org/officeDocument/2006/relationships" ref="B30" r:id="rId1"/>
    <hyperlink xmlns:r="http://schemas.openxmlformats.org/officeDocument/2006/relationships" ref="B31" r:id="rId2"/>
    <hyperlink xmlns:r="http://schemas.openxmlformats.org/officeDocument/2006/relationships" ref="B32" r:id="rId3"/>
    <hyperlink xmlns:r="http://schemas.openxmlformats.org/officeDocument/2006/relationships" ref="B33" r:id="rId4"/>
    <hyperlink xmlns:r="http://schemas.openxmlformats.org/officeDocument/2006/relationships" ref="B34" r:id="rId5"/>
    <hyperlink xmlns:r="http://schemas.openxmlformats.org/officeDocument/2006/relationships" ref="B35" r:id="rId6"/>
    <hyperlink xmlns:r="http://schemas.openxmlformats.org/officeDocument/2006/relationships" ref="B36" r:id="rId7"/>
    <hyperlink xmlns:r="http://schemas.openxmlformats.org/officeDocument/2006/relationships" ref="B37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2026-07-29T09:48:04Z</dcterms:created>
  <dcterms:modified xsi:type="dcterms:W3CDTF">2026-07-29T09:48:04Z</dcterms:modified>
</cp:coreProperties>
</file>